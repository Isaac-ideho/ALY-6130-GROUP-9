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Northeastern Study files\ALY6130\Week3\"/>
    </mc:Choice>
  </mc:AlternateContent>
  <xr:revisionPtr revIDLastSave="0" documentId="13_ncr:1_{EDF31033-B590-4960-B055-442FA509FE9C}" xr6:coauthVersionLast="47" xr6:coauthVersionMax="47" xr10:uidLastSave="{00000000-0000-0000-0000-000000000000}"/>
  <bookViews>
    <workbookView xWindow="19095" yWindow="0" windowWidth="19410" windowHeight="20985" activeTab="4" xr2:uid="{00000000-000D-0000-FFFF-FFFF00000000}"/>
  </bookViews>
  <sheets>
    <sheet name="Conservative" sheetId="1" r:id="rId1"/>
    <sheet name="Risk Log" sheetId="3" r:id="rId2"/>
    <sheet name="Risk Register" sheetId="2" r:id="rId3"/>
    <sheet name="HeatMap Excel" sheetId="4" r:id="rId4"/>
    <sheet name="HeatMap Pyth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4" l="1"/>
  <c r="F47" i="4" s="1"/>
  <c r="E46" i="4"/>
  <c r="F46" i="4" s="1"/>
  <c r="E45" i="4"/>
  <c r="F45" i="4" s="1"/>
  <c r="E44" i="4"/>
  <c r="F44" i="4" s="1"/>
  <c r="E43" i="4"/>
  <c r="F43" i="4" s="1"/>
  <c r="E42" i="4"/>
  <c r="F42" i="4" s="1"/>
  <c r="E41" i="4"/>
  <c r="F41" i="4" s="1"/>
  <c r="E40" i="4"/>
  <c r="F40" i="4" s="1"/>
  <c r="E39" i="4"/>
  <c r="F39" i="4" s="1"/>
  <c r="E38" i="4"/>
  <c r="F38" i="4" s="1"/>
  <c r="E37" i="4"/>
  <c r="F37" i="4" s="1"/>
  <c r="E36" i="4"/>
  <c r="F36" i="4" s="1"/>
  <c r="E35" i="4"/>
  <c r="F35" i="4" s="1"/>
  <c r="E34" i="4"/>
  <c r="F34" i="4" s="1"/>
  <c r="E33" i="4"/>
  <c r="F33" i="4" s="1"/>
  <c r="E32" i="4"/>
  <c r="F32" i="4" s="1"/>
  <c r="E31" i="4"/>
  <c r="F31" i="4" s="1"/>
  <c r="E30" i="4"/>
  <c r="F30" i="4" s="1"/>
  <c r="E29" i="4"/>
  <c r="F29" i="4" s="1"/>
  <c r="E28" i="4"/>
  <c r="F28" i="4" s="1"/>
  <c r="E27" i="4"/>
  <c r="F27" i="4" s="1"/>
  <c r="E26" i="4"/>
  <c r="F26" i="4" s="1"/>
  <c r="E25" i="4"/>
  <c r="F25" i="4" s="1"/>
  <c r="E24" i="4"/>
  <c r="F24" i="4" s="1"/>
  <c r="E23" i="4"/>
  <c r="F23" i="4" s="1"/>
  <c r="E22" i="4"/>
  <c r="F22" i="4" s="1"/>
  <c r="E21" i="4"/>
  <c r="F21" i="4" s="1"/>
  <c r="E20" i="4"/>
  <c r="F20" i="4" s="1"/>
  <c r="E19" i="4"/>
  <c r="F19" i="4" s="1"/>
  <c r="E18" i="4"/>
  <c r="F18" i="4" s="1"/>
  <c r="C3" i="4" a="1"/>
  <c r="C3" i="4" s="1"/>
  <c r="D3" i="4" a="1"/>
  <c r="D3" i="4" s="1"/>
  <c r="E3" i="4" a="1"/>
  <c r="E3" i="4" s="1"/>
  <c r="F3" i="4" a="1"/>
  <c r="F3" i="4" s="1"/>
  <c r="C4" i="4" a="1"/>
  <c r="C4" i="4" s="1"/>
  <c r="D4" i="4" a="1"/>
  <c r="D4" i="4" s="1"/>
  <c r="E4" i="4" a="1"/>
  <c r="E4" i="4" s="1"/>
  <c r="F4" i="4" a="1"/>
  <c r="F4" i="4" s="1"/>
  <c r="C5" i="4" a="1"/>
  <c r="C5" i="4" s="1"/>
  <c r="D5" i="4" a="1"/>
  <c r="D5" i="4" s="1"/>
  <c r="E5" i="4" a="1"/>
  <c r="E5" i="4" s="1"/>
  <c r="F5" i="4" a="1"/>
  <c r="F5" i="4" s="1"/>
  <c r="C6" i="4" a="1"/>
  <c r="C6" i="4" s="1"/>
  <c r="D6" i="4" a="1"/>
  <c r="D6" i="4" s="1"/>
  <c r="E6" i="4" a="1"/>
  <c r="E6" i="4" s="1"/>
  <c r="F6" i="4" a="1"/>
  <c r="F6" i="4" s="1"/>
  <c r="C7" i="4" a="1"/>
  <c r="C7" i="4" s="1"/>
  <c r="D7" i="4" a="1"/>
  <c r="D7" i="4" s="1"/>
  <c r="E7" i="4" a="1"/>
  <c r="E7" i="4" s="1"/>
  <c r="F7" i="4" a="1"/>
  <c r="F7" i="4" s="1"/>
  <c r="C8" i="4" a="1"/>
  <c r="C8" i="4" s="1"/>
  <c r="D8" i="4" a="1"/>
  <c r="D8" i="4" s="1"/>
  <c r="E8" i="4" a="1"/>
  <c r="E8" i="4" s="1"/>
  <c r="F8" i="4" a="1"/>
  <c r="F8" i="4" s="1"/>
  <c r="B4" i="4" a="1"/>
  <c r="B4" i="4" s="1"/>
  <c r="B5" i="4" a="1"/>
  <c r="B5" i="4" s="1"/>
  <c r="B6" i="4" a="1"/>
  <c r="B6" i="4" s="1"/>
  <c r="B7" i="4" a="1"/>
  <c r="B7" i="4" s="1"/>
  <c r="B8" i="4" a="1"/>
  <c r="B8" i="4" s="1"/>
  <c r="B3" i="4" a="1"/>
  <c r="B3" i="4" s="1"/>
  <c r="I3" i="2"/>
  <c r="J3" i="2"/>
  <c r="K3" i="2"/>
  <c r="L3" i="2"/>
  <c r="M3" i="2"/>
  <c r="I4" i="2"/>
  <c r="J4" i="2"/>
  <c r="K4" i="2"/>
  <c r="L4" i="2"/>
  <c r="M4" i="2"/>
  <c r="I5" i="2"/>
  <c r="J5" i="2"/>
  <c r="K5" i="2"/>
  <c r="L5" i="2"/>
  <c r="M5" i="2"/>
  <c r="I6" i="2"/>
  <c r="J6" i="2"/>
  <c r="K6" i="2"/>
  <c r="L6" i="2"/>
  <c r="M6" i="2"/>
  <c r="I7" i="2"/>
  <c r="J7" i="2"/>
  <c r="K7" i="2"/>
  <c r="L7" i="2"/>
  <c r="M7" i="2"/>
  <c r="J2" i="2"/>
  <c r="K2" i="2"/>
  <c r="L2" i="2"/>
  <c r="M2" i="2"/>
  <c r="I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2" i="2"/>
  <c r="J27" i="3"/>
  <c r="J28" i="3"/>
  <c r="J29" i="3"/>
  <c r="J30" i="3"/>
  <c r="J31" i="3"/>
  <c r="J26" i="3"/>
  <c r="J6" i="3"/>
  <c r="J7" i="3"/>
  <c r="J8" i="3"/>
  <c r="J9" i="3"/>
  <c r="J10" i="3"/>
  <c r="J11" i="3"/>
  <c r="J12" i="3"/>
  <c r="J13" i="3"/>
  <c r="J14" i="3"/>
  <c r="J15" i="3"/>
  <c r="J16" i="3"/>
  <c r="J17" i="3"/>
  <c r="J18" i="3"/>
  <c r="J19" i="3"/>
  <c r="J20" i="3"/>
  <c r="J21" i="3"/>
  <c r="J22" i="3"/>
  <c r="J23" i="3"/>
  <c r="J24" i="3"/>
  <c r="J25" i="3"/>
  <c r="J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<sst xmlns="http://schemas.openxmlformats.org/spreadsheetml/2006/main" count="564" uniqueCount="387">
  <si>
    <t xml:space="preserve">Probability of Occurrence </t>
  </si>
  <si>
    <t xml:space="preserve">Very Unlikely </t>
  </si>
  <si>
    <t xml:space="preserve">Somewhat unlikely </t>
  </si>
  <si>
    <t xml:space="preserve">50-50 possibility </t>
  </si>
  <si>
    <t xml:space="preserve">Somewhat likely </t>
  </si>
  <si>
    <t xml:space="preserve">Very likely </t>
  </si>
  <si>
    <t>Impact of Risk : defined as the impact to the firm before the controls. (Inherent risk)</t>
  </si>
  <si>
    <t>Financial: Possibility of a significant monetary loss or gain</t>
  </si>
  <si>
    <t>Operational</t>
  </si>
  <si>
    <t>Competitive Risks: Some competitors in the industry might hurt the company's business. Pick hospitals that are closed to competitors' health center, count the total admissions change rates in these hospitals.</t>
  </si>
  <si>
    <t>Reputational: May impact the company brand or standing associated with a positive or negative incident/issue</t>
  </si>
  <si>
    <t>Technical</t>
  </si>
  <si>
    <t>Legal/Compliance</t>
  </si>
  <si>
    <t xml:space="preserve">Very Low </t>
  </si>
  <si>
    <t xml:space="preserve">Somewhat Low </t>
  </si>
  <si>
    <t xml:space="preserve">Moderate </t>
  </si>
  <si>
    <t xml:space="preserve">Somewhat High </t>
  </si>
  <si>
    <t xml:space="preserve">High </t>
  </si>
  <si>
    <t xml:space="preserve">Extremely High </t>
  </si>
  <si>
    <t>Risk #</t>
  </si>
  <si>
    <t>The Risk of/That</t>
  </si>
  <si>
    <t>Likelihood Score</t>
  </si>
  <si>
    <t>Impact Score</t>
  </si>
  <si>
    <t>ROI realization failure</t>
  </si>
  <si>
    <t>Inventory forecast error</t>
  </si>
  <si>
    <t>AI implementation cost overrun</t>
  </si>
  <si>
    <t>Revenue loss from AI service disruptions</t>
  </si>
  <si>
    <t>Inventory loss from AI forecast errors</t>
  </si>
  <si>
    <t>Overstock risk</t>
  </si>
  <si>
    <t>Replenishment delay</t>
  </si>
  <si>
    <t>Fulfillment Disruption</t>
  </si>
  <si>
    <t>Poor Data Quality</t>
  </si>
  <si>
    <t>Customer Trust Erosion</t>
  </si>
  <si>
    <t>Brand damage from AI failures</t>
  </si>
  <si>
    <t>System Downtime</t>
  </si>
  <si>
    <t>Customer Data Breach</t>
  </si>
  <si>
    <t>Regulatory Non-Compliance</t>
  </si>
  <si>
    <t>Financial Impact</t>
  </si>
  <si>
    <t>Financial loss &lt; $1M</t>
  </si>
  <si>
    <t>Financial loss between $1M - $10M</t>
  </si>
  <si>
    <t>Financial loss between $10M - $50M</t>
  </si>
  <si>
    <t>Financial loss between $50M - $100M</t>
  </si>
  <si>
    <t>Financial loss &gt; $100M</t>
  </si>
  <si>
    <t>Operational Impact</t>
  </si>
  <si>
    <t>Minimal operational disruption</t>
  </si>
  <si>
    <t>Single store disruption</t>
  </si>
  <si>
    <t>Mutliple stores affected</t>
  </si>
  <si>
    <t>Regional operational disruption</t>
  </si>
  <si>
    <t>Entreprise-wide operational disruption</t>
  </si>
  <si>
    <t>Competitive Impact</t>
  </si>
  <si>
    <t>No measurable competitive impact</t>
  </si>
  <si>
    <t>Minor market share loss</t>
  </si>
  <si>
    <t>Noticebal local/ regional competitive disadvantage</t>
  </si>
  <si>
    <t>Significant customer migration to competitors</t>
  </si>
  <si>
    <t>Strategic loss of competitive position</t>
  </si>
  <si>
    <t>Reputational Impact</t>
  </si>
  <si>
    <t>Internal avareness only</t>
  </si>
  <si>
    <t>Limited custoemr complaints</t>
  </si>
  <si>
    <t>Regional negative publicity</t>
  </si>
  <si>
    <t>National media coverage</t>
  </si>
  <si>
    <t>Long-term brand damage and trust erosion</t>
  </si>
  <si>
    <t>Techinal Impact</t>
  </si>
  <si>
    <t>Minor technical issure</t>
  </si>
  <si>
    <t>Temporary service degradation</t>
  </si>
  <si>
    <t>Store-level system disruption</t>
  </si>
  <si>
    <t>Multi-region technology outage</t>
  </si>
  <si>
    <t>Entrepise-wide technology failure</t>
  </si>
  <si>
    <t>Legal / Compliance Impact</t>
  </si>
  <si>
    <t>Minor policy violation</t>
  </si>
  <si>
    <t>Internal compliance issue</t>
  </si>
  <si>
    <t>Regulatory inquiry</t>
  </si>
  <si>
    <t>Investigation and penalties</t>
  </si>
  <si>
    <t>Major fines, Litigation or regulatory sanctions</t>
  </si>
  <si>
    <t>Expected labor cost reduction not achieved</t>
  </si>
  <si>
    <t>Productivity decline during transition</t>
  </si>
  <si>
    <t>Incorrect workforce scheduling</t>
  </si>
  <si>
    <t>Poor data quality</t>
  </si>
  <si>
    <t>operational decision errors</t>
  </si>
  <si>
    <t>excessive dependence on automation</t>
  </si>
  <si>
    <t>Stockout risk</t>
  </si>
  <si>
    <t>Fulfillment disruption</t>
  </si>
  <si>
    <t>Faster AI adoption by Competitors</t>
  </si>
  <si>
    <t>Customer migration to competitors</t>
  </si>
  <si>
    <t>Competitve AI disruption</t>
  </si>
  <si>
    <t>AI-related customer compaints</t>
  </si>
  <si>
    <t>Negative publice preception of AI</t>
  </si>
  <si>
    <t>Customer trust erosion</t>
  </si>
  <si>
    <t>AI model drift</t>
  </si>
  <si>
    <t>AI recommedndation inaccuracy</t>
  </si>
  <si>
    <t>Legacy system intergration failure</t>
  </si>
  <si>
    <t>Vendor dependency</t>
  </si>
  <si>
    <t>Algorithmic Bias and Ethical AI issues</t>
  </si>
  <si>
    <t>Regulatory Non-compliance</t>
  </si>
  <si>
    <t>Walmart Frontline AI Tranforamtion (Included store operations, customer service, workforce management and inventory management etc)</t>
  </si>
  <si>
    <t>Risk Category name</t>
  </si>
  <si>
    <t>Date</t>
  </si>
  <si>
    <t>Caused by</t>
  </si>
  <si>
    <t>Resulting In</t>
  </si>
  <si>
    <t>Consequence/Impact</t>
  </si>
  <si>
    <t>Risk Score</t>
  </si>
  <si>
    <t>Priority (H, M, L)</t>
  </si>
  <si>
    <t>Mitigation</t>
  </si>
  <si>
    <t>Risk Owner</t>
  </si>
  <si>
    <t>Open/Closed</t>
  </si>
  <si>
    <t>R-001</t>
  </si>
  <si>
    <t>Competitive AI Disruption</t>
  </si>
  <si>
    <t>The risk of market share erosion in AI-enabled retail categories</t>
  </si>
  <si>
    <t>Caused by rapid AI capability development by Amazon, Target, and AI-native competitors who have established AI-first operations ahead of Walmart</t>
  </si>
  <si>
    <t>Resulting in reduced customer retention, declining e-commerce market share by an estimated 3-5 percentage points, and revenue losses of $8-12 billion annually</t>
  </si>
  <si>
    <t>FINANCIAL: Revenue decline of $8-12B annually
OPERATIONAL: Loss of competitive positioning in AI-enabled categories
STRATEGIC: Diminished brand relevance among digital-native consumers
TECHNOLOGY: Expanding AI capability gap versus Amazon and Target</t>
  </si>
  <si>
    <t>H</t>
  </si>
  <si>
    <t>1. Accelerate AI investment roadmap with $2B dedicated annual budget
2. Acquire AI-native startups to address the capability gap
3. Enhance Walmart+ subscription program with AI-personalized features and benefits
4. Deploy competitive intelligence monitoring system
5. Establish AI innovation laboratories</t>
  </si>
  <si>
    <t>Chief Strategy Officer / Chief AI Officer / R&amp;D and Strategy department</t>
  </si>
  <si>
    <t>Open</t>
  </si>
  <si>
    <t>R-002</t>
  </si>
  <si>
    <t>Customer Migration Risk</t>
  </si>
  <si>
    <t>The risk of customer attrition and loyalty erosion</t>
  </si>
  <si>
    <t>Caused by competitors offering superior AI-driven customer experiences, personalized recommendations, and digital engagement capabilities that Walmart has not yet fully replicated</t>
  </si>
  <si>
    <t>Resulting in reduced customer loyalty, declining retention rates, slower Walmart+ membership growth, and an estimated 4-7% customer churn increase</t>
  </si>
  <si>
    <t>FINANCIAL: Revenue loss from customer attrition estimated at $3-5B annually
OPERATIONAL: Reduced transaction frequency and basket size
REPUTATIONAL: Declining Net Promoter Score and brand preference
TECHNOLOGY: Competitive disadvantage in AI personalization capabilities
COMPLIANCE: Customer data privacy risks from expanded AI personalization</t>
  </si>
  <si>
    <t>1. Deploy AI-powered personalization engine across Walmart.com and app
2. Invest in customer analytics and behavioral prediction models
3. Expand Walmart+ benefits with AI-curated recommendations
4. Implement real-time customer churn prediction and intervention program
5. Develop AI-powered digital engagement assistant for customer service</t>
  </si>
  <si>
    <t>Chief Customer Officer / VP Digital Experience / Compliance &amp; Customer department</t>
  </si>
  <si>
    <t>R-003</t>
  </si>
  <si>
    <t>AI-Driven Supply Chain Optimization and Cost Leadership Risk</t>
  </si>
  <si>
    <t>The risk/opportunity of capturing cost leadership advantage through AI-driven supply chain optimization</t>
  </si>
  <si>
    <t>Caused by successful implementation of AI forecasting, inventory optimization, and supply chain automation capabilities that competitors have not yet deployed at Walmart's scale</t>
  </si>
  <si>
    <t>Resulting in lower operating costs, improved inventory efficiency, enhanced competitive advantage, and incremental operating margin improvement of 1.5-2.5 percentage points</t>
  </si>
  <si>
    <t>FINANCIAL (POSITIVE): Operating margin improvement of $4-6B annually
OPERATIONAL (POSITIVE): 20-30% reduction in inventory carrying costs
STRATEGIC (POSITIVE): Sustainable cost leadership advantage over Amazon and Target
TECHNOLOGY (POSITIVE): Monetization of AI infrastructure investment
COMPETITIVE (POSITIVE): Faster replenishment and improved in-stock rates</t>
  </si>
  <si>
    <t>1. Continue investment in AI-enabled supply chain technology and warehouse automation
2. Expand real-time IoT sensor deployment across 210+ distribution centers
3. Deploy AI demand forecasting models to reduce overstock and stockout events
4. Develop supplier collaboration platform with AI-driven order optimization
5. Establish supply chain AI Center of Excellence</t>
  </si>
  <si>
    <t xml:space="preserve">Chief Supply Chain Officer / VP Logistics Technology / Inventory &amp; Technology department </t>
  </si>
  <si>
    <t>R-004</t>
  </si>
  <si>
    <t>R-005</t>
  </si>
  <si>
    <t>R-006</t>
  </si>
  <si>
    <t>R-007</t>
  </si>
  <si>
    <t>R-008</t>
  </si>
  <si>
    <t>R-009</t>
  </si>
  <si>
    <t>R-010</t>
  </si>
  <si>
    <t>R-011</t>
  </si>
  <si>
    <t>R-012</t>
  </si>
  <si>
    <t>R-013</t>
  </si>
  <si>
    <t>R-014</t>
  </si>
  <si>
    <t>R-015</t>
  </si>
  <si>
    <t>R-016</t>
  </si>
  <si>
    <t>R-017</t>
  </si>
  <si>
    <t>The risk that Walmart fails to achieve the expected financial returns and operational benefits from Frontline AI Transformation investments.</t>
  </si>
  <si>
    <t>This risk may be caused by lower-than-expected employee adoption of AI tools, implementation delays across stores, insufficient process redesign, and overestimation of productivity improvements generated by AI-enabled operations.</t>
  </si>
  <si>
    <t>This may result in reduced operational savings, delayed realization of expected benefits, lower return on investment, and decreased confidence in future AI transformation initiatives.</t>
  </si>
  <si>
    <t>FINANCIAL: Failure to achieve projected AI benefits may reduce expected returns by an estimated $100M–$500M over the implementation lifecycle.
OPERATIONAL: Reduced efficiency gains from workforce automation, inventory optimization, and AI-assisted decision-making.
STRATEGIC: Reduced executive confidence in future AI investments and digital transformation programs.
COMPETITIVE: Slower realization of AI benefits may widen the operational efficiency gap between Walmart and competitors such as Amazon and Target.</t>
  </si>
  <si>
    <t>1. Establish enterprise AI ROI monitoring dashboards.
2. Link AI initiatives to measurable business KPIs.
3. Conduct quarterly benefit realization reviews.
4. Implement phased deployment and pilot validation.
5. Establish executive AI governance oversight.</t>
  </si>
  <si>
    <t>Chief Financial Officer / Chief Technology Officer</t>
  </si>
  <si>
    <t>AI Implementation Cost Overrun</t>
  </si>
  <si>
    <t>The risk that Walmart's Frontline AI Transformation program exceeds approved implementation budgets and financial forecasts.</t>
  </si>
  <si>
    <t>This risk may be caused by project scope expansion, infrastructure upgrades, vendor cost increases, implementation complexity, consulting expenses, and unexpected integration requirements associated with legacy systems.</t>
  </si>
  <si>
    <t>This may result in budget overruns, reduced project profitability, delayed deployment schedules, and additional funding requirements.</t>
  </si>
  <si>
    <t>FINANCIAL: Additional implementation costs may exceed planned budgets by tens of millions of dollars.
OPERATIONAL: Budget constraints may delay rollout schedules and limit deployment scope.
STRATEGIC: Cost overruns may reduce funding available for future AI investments.
COMPETITIVE: Delayed implementation may allow competitors to realize AI benefits sooner.</t>
  </si>
  <si>
    <t>M</t>
  </si>
  <si>
    <t>1. Implement stage-gate project approvals.
2. Perform monthly budget reviews.
3. Establish contingency funding reserves.
4. Strengthen vendor contract governance.
5. Control project scope through formal change management.</t>
  </si>
  <si>
    <t>Chief Financial Officer/ Program Management Office</t>
  </si>
  <si>
    <t>Revenue Loss from AI Service Disruptions</t>
  </si>
  <si>
    <t>The risk that disruptions to AI-powered services negatively affect frontline operations and reduce sales revenue.</t>
  </si>
  <si>
    <t>This risk may be caused by cloud service outages, AI platform failures, software defects, integration issues, network disruptions, or failures in critical frontline AI applications.</t>
  </si>
  <si>
    <t>This may result in lost sales opportunities, reduced transaction volumes, customer dissatisfaction, and lower revenue growth.</t>
  </si>
  <si>
    <t>FINANCIAL: Revenue losses may occur due to service interruptions affecting store operations and customer transactions.
OPERATIONAL: Store associates may be unable to access AI-powered tools needed for daily operations.
REPUTATIONAL: Customers may experience service delays and reduced satisfaction.
TECHNICAL: Increased pressure on IT teams to restore disrupted services.</t>
  </si>
  <si>
    <t>1. Establish cloud redundancy and failover capabilities.
2. Implement disaster recovery procedures.
3. Deploy real-time system monitoring.
4. Conduct regular resilience testing.
5. Maintain business continuity plans for critical operations.</t>
  </si>
  <si>
    <t>Chief Information Officer / Enterprise Technology Services</t>
  </si>
  <si>
    <t>Inventory Loss from AI Forecast Errors</t>
  </si>
  <si>
    <t>The risk that inaccurate AI forecasting models lead to inventory losses and inefficient inventory management decisions.</t>
  </si>
  <si>
    <t>This risk may be caused by poor data quality, changing consumer behavior, insufficient training data, demand volatility, or forecasting model limitations.</t>
  </si>
  <si>
    <t>This may result in excess inventory, stock shortages, inventory write-offs, increased carrying costs, and lost sales opportunities.</t>
  </si>
  <si>
    <t>FINANCIAL: Inventory losses may increase due to excess stock, markdowns, and inventory write-offs.
OPERATIONAL: Poor forecasting may disrupt replenishment and inventory management processes.
COMPETITIVE: Product availability issues may reduce customer satisfaction and competitiveness.
STRATEGIC: Reduced confidence in AI-driven planning and forecasting capabilities.</t>
  </si>
  <si>
    <t>1. Continuously monitor forecast accuracy.
2. Implement human review of critical forecasts.
3. Retrain AI models regularly.
4. Maintain safety stock policies.
5. Conduct periodic data quality assessments.</t>
  </si>
  <si>
    <t xml:space="preserve">Chief Supply Chain Officer / Inventory Analytics Team </t>
  </si>
  <si>
    <t>Expected Labor Cost Reduction Not Achieved</t>
  </si>
  <si>
    <t>The risk that Walmart does not achieve the anticipated labor cost savings associated with Frontline AI Transformation.</t>
  </si>
  <si>
    <t>This risk may be caused by low AI adoption rates, inefficient workforce utilization, resistance to process changes, insufficient employee training, and the need to maintain additional staffing levels during the transition period.</t>
  </si>
  <si>
    <t>This may result in higher-than-expected labor expenses, reduced operational efficiency, and failure to achieve projected cost reduction targets.</t>
  </si>
  <si>
    <t>FINANCIAL: Expected labor savings may not materialize, reducing overall project value.
OPERATIONAL: Workforce productivity improvements may be delayed.
STRATEGIC: Reduced justification for future workforce automation initiatives.
COMPETITIVE: Competitors achieving greater labor efficiency through AI may strengthen their cost advantage.</t>
  </si>
  <si>
    <t>L</t>
  </si>
  <si>
    <t>1. Expand AI training and workforce enablement programs.
2. Monitor labor productivity KPIs.
3. Conduct regular workforce adoption assessments.
4. Align workforce incentives with AI adoption goals.
5. Continuously improve frontline AI workflows.</t>
  </si>
  <si>
    <t>Store Operations Leadership</t>
  </si>
  <si>
    <t>Inventory Forecast Error</t>
  </si>
  <si>
    <t>The risk that AI-powered inventory forecasting models generate inaccurate demand predictions for products across Walmart stores.</t>
  </si>
  <si>
    <t>This risk may be caused by poor data quality, rapidly changing customer purchasing behavior, seasonal demand fluctuations, incomplete historical data, and limitations in AI forecasting algorithms.</t>
  </si>
  <si>
    <t>This may result in inaccurate inventory planning, product shortages, excess inventory, inefficient replenishment decisions, and reduced customer satisfaction.</t>
  </si>
  <si>
    <t>FINANCIAL: Increased inventory carrying costs and lost sales opportunities.
OPERATIONAL: Inventory imbalances affecting store operations and replenishment activities.
CUSTOMER: Reduced product availability and customer satisfaction.
COMPETITIVE: Lower service levels compared to competitors with more accurate forecasting capabilities.</t>
  </si>
  <si>
    <t>1. Continuously monitor forecast accuracy KPIs.
2. Retrain forecasting models regularly.
3. Establish human review for critical inventory categories.
4. Maintain safety stock thresholds.
5. Improve master data governance and inventory data quality.</t>
  </si>
  <si>
    <t>AI Analytics Team / Inventory Planning Department</t>
  </si>
  <si>
    <t>Stockout Risk</t>
  </si>
  <si>
    <t>The risk that products become unavailable to customers due to failures in AI-driven forecasting, replenishment, or inventory management processes.</t>
  </si>
  <si>
    <t>This risk may be caused by inaccurate demand forecasts, delayed replenishment activities, supplier disruptions, inventory visibility issues, or excessive dependence on automated decision-making.</t>
  </si>
  <si>
    <t>This may result in lost sales, dissatisfied customers, reduced customer loyalty, and lower store performance.</t>
  </si>
  <si>
    <t>FINANCIAL: Revenue loss from missed sales opportunities.
OPERATIONAL: Reduced inventory availability across stores.
CUSTOMER: Poor shopping experience and customer frustration.
COMPETITIVE: Customers may switch to competitors with better product availability.</t>
  </si>
  <si>
    <t>1. Establish real-time inventory monitoring.
2. Implement automated stockout alerts.
3. Maintain safety stock levels.
4. Increase replenishment review frequency.
5. Improve supplier coordination processes.</t>
  </si>
  <si>
    <t>Inventory Management Department / Store Operations Leadership</t>
  </si>
  <si>
    <t>Overstock Risk</t>
  </si>
  <si>
    <t>The risk that AI forecasting models overestimate demand and create excessive inventory levels.</t>
  </si>
  <si>
    <t>This risk may be caused by inaccurate forecasting assumptions, poor data quality, unexpected demand changes, and model bias toward higher inventory recommendations.</t>
  </si>
  <si>
    <t>This may result in excess inventory accumulation, increased storage costs, markdowns, and inventory write-offs.</t>
  </si>
  <si>
    <t>FINANCIAL: Increased carrying costs and inventory markdown expenses.
OPERATIONAL: Reduced warehouse and store storage efficiency.
STRATEGIC: Reduced confidence in AI forecasting capabilities.</t>
  </si>
  <si>
    <t>1. Monitor inventory turnover metrics.
2. Conduct regular forecast validation reviews.
3. Implement dynamic inventory thresholds.
4. Improve demand sensing capabilities.
5. Strengthen inventory governance controls.</t>
  </si>
  <si>
    <t>Inventory Planning Team / Supply Chain Analytics Department</t>
  </si>
  <si>
    <t>Replenishment Delay</t>
  </si>
  <si>
    <t>The risk that AI-enabled replenishment processes fail to restock products in a timely manner.</t>
  </si>
  <si>
    <t>This risk may be caused by delayed inventory signals, inaccurate replenishment recommendations, supplier performance issues, transportation delays, and technology failures.</t>
  </si>
  <si>
    <t>This may result in empty shelves, stock shortages, delayed product availability, and reduced operational efficiency.</t>
  </si>
  <si>
    <t>FINANCIAL: Lost sales opportunities due to unavailable inventory.
OPERATIONAL: Reduced replenishment efficiency and inventory performance.
CUSTOMER: Negative shopping experience caused by empty shelves.</t>
  </si>
  <si>
    <t>1. Implement replenishment exception monitoring.
2. Improve supplier performance management.
3. Establish manual override procedures.
4. Increase visibility into inventory movement.
5. Conduct regular replenishment audits.</t>
  </si>
  <si>
    <t>Supply Chain Operations / Replenishment Management Team</t>
  </si>
  <si>
    <t>R-018</t>
  </si>
  <si>
    <t>R-019</t>
  </si>
  <si>
    <t>R-020</t>
  </si>
  <si>
    <t>R-021</t>
  </si>
  <si>
    <t>R-022</t>
  </si>
  <si>
    <t>R-023</t>
  </si>
  <si>
    <t>R-024</t>
  </si>
  <si>
    <t>R-025</t>
  </si>
  <si>
    <t>R-026</t>
  </si>
  <si>
    <t>R-027</t>
  </si>
  <si>
    <t>R-028</t>
  </si>
  <si>
    <t>R-029</t>
  </si>
  <si>
    <t>R-030</t>
  </si>
  <si>
    <t>The risk that AI-related failures disrupt store fulfillment activities and customer order processing.</t>
  </si>
  <si>
    <t>This risk may be caused by AI system outages, inaccurate task prioritization, inventory visibility issues, labor shortages, and workflow automation failures.</t>
  </si>
  <si>
    <t>This may result in delayed order fulfillment, reduced order accuracy, customer dissatisfaction, and operational inefficiencies.</t>
  </si>
  <si>
    <t>FINANCIAL: Revenue loss from delayed or cancelled orders.
OPERATIONAL: Reduced fulfillment efficiency and order accuracy.
CUSTOMER: Lower customer satisfaction and trust.
COMPETITIVE: Increased risk of customer migration to competitors.</t>
  </si>
  <si>
    <t>1. Implement fulfillment performance monitoring.
2. Maintain manual backup fulfillment processes.
3. Conduct operational resilience testing.
4. Improve inventory visibility across channels.
5. Strengthen workforce training and escalation procedures.</t>
  </si>
  <si>
    <t>Chief Operations Officer / Store Fulfillment Operations / E-Commerce Operations Team</t>
  </si>
  <si>
    <t>Incorrect Workforce Scheduling</t>
  </si>
  <si>
    <t>The risk that AI-powered workforce scheduling tools generate inefficient, inaccurate, or unfair employee schedules.</t>
  </si>
  <si>
    <t>This risk may be caused by inaccurate labor demand forecasts, incomplete employee availability data, scheduling algorithm limitations, insufficient consideration of local store conditions, and lack of managerial review of AI-generated schedules.</t>
  </si>
  <si>
    <t>This may result in staffing shortages, overstaffing, increased overtime costs, employee dissatisfaction, reduced productivity, and lower customer service quality.</t>
  </si>
  <si>
    <t>FINANCIAL: Increased labor costs due to overtime, scheduling inefficiencies, and workforce turnover.
OPERATIONAL: Reduced staffing effectiveness and service coverage.
REPUTATIONAL: Employee dissatisfaction may negatively impact Walmart's employer brand.
LEGAL/COMPLIANCE: Potential labor compliance concerns regarding scheduling fairness and employee treatment.</t>
  </si>
  <si>
    <t>1. Require managerial approval of AI-generated schedules.
2. Conduct regular scheduling fairness reviews.
3. Continuously retrain scheduling algorithms.
4. Collect employee feedback on scheduling effectiveness.
5. Monitor overtime and labor utilization metrics.</t>
  </si>
  <si>
    <t>Store Operations Management / Workforce Planning Department</t>
  </si>
  <si>
    <t>Productivity Decline During Transition</t>
  </si>
  <si>
    <t>The risk that employee productivity temporarily declines during the implementation and adoption of AI-powered frontline tools.</t>
  </si>
  <si>
    <t>This risk may be caused by employee learning curves, unfamiliarity with AI systems, process changes, training requirements, and temporary disruptions to established workflows.</t>
  </si>
  <si>
    <t>This may result in reduced operational efficiency, slower task completion, lower service levels, and delayed realization of expected business benefits.</t>
  </si>
  <si>
    <t>FINANCIAL: Reduced productivity may increase labor costs during implementation.
OPERATIONAL: Temporary reduction in store efficiency and performance.
STRATEGIC: Delayed realization of AI transformation objectives.</t>
  </si>
  <si>
    <t>1. Develop structured AI training programs.
2. Implement phased deployment across stores.
3. Provide ongoing frontline support resources.
4. Establish change management communication plans.
5. Monitor productivity KPIs throughout implementation.</t>
  </si>
  <si>
    <t>Store Operations Leadership / Learning &amp; Development Department</t>
  </si>
  <si>
    <t>The risk that inaccurate, incomplete, or inconsistent data negatively affects AI-driven operational decisions.</t>
  </si>
  <si>
    <t>This risk may be caused by data entry errors, inconsistent data standards, outdated information, system integration issues, and inadequate data governance controls.</t>
  </si>
  <si>
    <t>This may result in inaccurate AI recommendations, forecasting errors, poor operational decisions, and reduced business performance.</t>
  </si>
  <si>
    <t>FINANCIAL: Increased costs resulting from poor operational decisions.
OPERATIONAL: Reduced accuracy of inventory, workforce, and customer service decisions.
TECHNICAL: Lower AI model performance and reliability.
STRATEGIC: Reduced confidence in AI-driven decision-making.</t>
  </si>
  <si>
    <t>1. Establish enterprise data governance standards.
2. Implement automated data quality monitoring.
3. Conduct periodic data validation reviews.
4. Assign business data owners.
5. Develop data quality scorecards and reporting.</t>
  </si>
  <si>
    <t>Data Governance Team / AI Analytics Department</t>
  </si>
  <si>
    <t>Operational Decision Errors</t>
  </si>
  <si>
    <t>The risk that frontline employees follow inaccurate AI-generated recommendations when making operational decisions.</t>
  </si>
  <si>
    <t>This risk may be caused by AI recommendation inaccuracies, insufficient employee training, lack of critical review, overreliance on AI systems, and incomplete contextual information.</t>
  </si>
  <si>
    <t>This may result in poor inventory decisions, inefficient workforce allocation, reduced customer service quality, and operational inefficiencies.</t>
  </si>
  <si>
    <t>FINANCIAL: Increased operational costs and reduced sales opportunities.
OPERATIONAL: Inefficient store operations and workflow disruptions.
CUSTOMER: Lower service quality and customer satisfaction.
TECHNICAL: Reduced trust in AI-powered decision support systems.</t>
  </si>
  <si>
    <t>1. Maintain human-in-the-loop review processes.
2. Provide AI literacy training for frontline employees.
3. Establish escalation procedures for unusual recommendations.
4. Monitor recommendation accuracy metrics.
5. Conduct regular AI performance reviews.
Risk Owner</t>
  </si>
  <si>
    <t>Store Operations Leadership / AI Governance Team / Department Managers</t>
  </si>
  <si>
    <t>Excessive Dependence on Automation</t>
  </si>
  <si>
    <t>The risk that frontline employees become overly dependent on AI systems and reduce their ability to make independent operational decisions.</t>
  </si>
  <si>
    <t>This risk may be caused by extensive automation, reduced human oversight, overconfidence in AI-generated recommendations, and insufficient development of critical decision-making skills.</t>
  </si>
  <si>
    <t>This may result in operational disruption when AI systems fail, slower response to unexpected situations, and reduced workforce adaptability.</t>
  </si>
  <si>
    <t>FINANCIAL: Increased costs resulting from operational failures during system disruptions.
OPERATIONAL: Reduced operational resilience and adaptability.
TECHNICAL: Greater business dependency on AI system availability.
STRATEGIC: Increased concentration risk associated with AI-enabled operations.</t>
  </si>
  <si>
    <t>1. Maintain human oversight for critical decisions.
2. Conduct periodic manual process exercises.
3. Establish AI fallback procedures.
4. Promote employee decision-making capabilities.
5. Develop operational resilience testing programs.</t>
  </si>
  <si>
    <t>Store Operations Leadership / AI Governance Committee</t>
  </si>
  <si>
    <t>The risk that customers lose trust in Walmart due to AI-related failures, inaccurate recommendations, privacy concerns, or poor service experiences associated with frontline AI technologies.</t>
  </si>
  <si>
    <t>This risk may be caused by inaccurate AI-generated recommendations, poor customer service interactions, privacy concerns regarding customer data usage, system failures, or AI decisions that negatively affect customer experiences.</t>
  </si>
  <si>
    <t>This may result in reduced customer loyalty, lower customer retention rates, declining Walmart+ membership growth, and increased customer migration to competitors.</t>
  </si>
  <si>
    <t>FINANCIAL: Reduced customer retention may contribute to revenue declines and lower customer lifetime value.
OPERATIONAL: Increased customer complaints and additional resources required to resolve service issues.
REPUTATIONAL: Declining customer confidence in Walmart's AI-enabled services and digital initiatives.
COMPETITIVE: Increased likelihood of customers choosing competitors perceived as more reliable or trustworthy.</t>
  </si>
  <si>
    <t>1. Implement transparent AI usage disclosures.
2. Maintain human support channels for customers.
3. Conduct customer satisfaction monitoring.
4. Establish AI ethics and customer trust governance.
5. Rapidly investigate and resolve AI-related customer concerns.</t>
  </si>
  <si>
    <t>Customer Experience Department</t>
  </si>
  <si>
    <t>Negative Public Perception of AI</t>
  </si>
  <si>
    <t>The risk that negative public sentiment regarding artificial intelligence adversely affects Walmart's reputation and stakeholder confidence.</t>
  </si>
  <si>
    <t>This risk may be caused by public concerns regarding job displacement, AI ethics, surveillance technologies, privacy issues, algorithmic bias, or negative media coverage related to Walmart's AI initiatives.</t>
  </si>
  <si>
    <t>This may result in increased public criticism, negative media attention, stakeholder concerns, and reduced acceptance of Walmart's AI transformation efforts.</t>
  </si>
  <si>
    <t>FINANCIAL: Potential reduction in customer engagement and spending.
REPUTATIONAL: Increased negative media coverage and public criticism.
STRATEGIC: Reduced support for future AI innovation initiatives.
COMPETITIVE: Competitors with more favorable public perceptions may gain advantage.</t>
  </si>
  <si>
    <t>1. Develop responsible AI communication strategies.
2. Publish AI governance and ethics principles.
3. Engage proactively with stakeholders and media.
4. Conduct AI transparency reporting.
5. Promote workforce reskilling initiatives.</t>
  </si>
  <si>
    <t xml:space="preserve">Corporate Communications Department /Chief Public Affairs Officer </t>
  </si>
  <si>
    <t>AI-Related Customer Complaints</t>
  </si>
  <si>
    <t>The risk that customers experience dissatisfaction with AI-enabled services and submit complaints regarding service quality, accuracy, or usability.</t>
  </si>
  <si>
    <t>This risk may be caused by inaccurate AI recommendations, poor chatbot interactions, service disruptions, confusing user experiences, or operational errors influenced by AI systems.</t>
  </si>
  <si>
    <t>This may result in increased complaint volumes, reduced customer satisfaction scores, negative online reviews, and additional customer service workload.</t>
  </si>
  <si>
    <t>FINANCIAL: Increased customer support costs and potential sales losses.
OPERATIONAL: Additional resources required to investigate and resolve complaints.
REPUTATIONAL: Declining customer satisfaction and negative online sentiment.
CUSTOMER: Reduced confidence in AI-assisted services.</t>
  </si>
  <si>
    <t>1. Monitor complaint trends and root causes.
2. Maintain human customer support escalation channels.
3. Improve AI recommendation accuracy.
4. Collect customer feedback regularly.
5. Establish rapid issue resolution processes.</t>
  </si>
  <si>
    <t>Store Operations Leadership / Customer Service Management</t>
  </si>
  <si>
    <t>Brand Damage from AI Failures</t>
  </si>
  <si>
    <t>The risk that significant AI failures, data incidents, or operational disruptions negatively affect Walmart's brand reputation and public image.</t>
  </si>
  <si>
    <t>This risk may be caused by major AI system failures, inaccurate AI decisions, cybersecurity incidents, data breaches, algorithmic bias events, or highly publicized operational disruptions.</t>
  </si>
  <si>
    <t>This may result in widespread negative media coverage, customer trust erosion, stakeholder concerns, reduced brand value, and long-term reputational damage.</t>
  </si>
  <si>
    <t>FINANCIAL: Potential revenue decline due to loss of customer confidence.
REPUTATIONAL: Significant damage to Walmart's brand reputation and public perception.
COMPETITIVE: Increased customer migration to competitors.
STRATEGIC: Reduced stakeholder confidence in Walmart's digital transformation strategy.</t>
  </si>
  <si>
    <t>1. Establish enterprise AI governance controls.
2. Conduct AI risk and ethics assessments.
3. Maintain crisis communication plans.
4. Implement continuous AI monitoring and testing.
5. Develop incident response procedures for AI-related events.</t>
  </si>
  <si>
    <t>Chief Risk Officer (CRO)
Executive Leadership Team</t>
  </si>
  <si>
    <t>AI Recommendation Inaccuracy</t>
  </si>
  <si>
    <t>The risk that AI-powered systems provide inaccurate recommendations to frontline employees regarding inventory management, workforce scheduling, replenishment, customer service, or operational decision-making.</t>
  </si>
  <si>
    <t>This risk may be caused by poor training data quality, insufficient model testing, inaccurate business assumptions, changing customer behavior, and limitations in AI algorithms that reduce recommendation accuracy.</t>
  </si>
  <si>
    <t>This may result in poor operational decisions, inventory imbalances, reduced employee trust in AI systems, lower productivity, and negative customer experiences.</t>
  </si>
  <si>
    <t>FINANCIAL: Increased costs associated with incorrect business decisions.
OPERATIONAL: Reduced efficiency and accuracy in frontline operations.
CUSTOMER: Lower service quality and customer satisfaction.
TECHNICAL: Reduced confidence in AI-enabled decision-support systems.</t>
  </si>
  <si>
    <t>1. Continuously monitor recommendation accuracy.
2. Conduct periodic model validation and testing.
3. Maintain human review for critical decisions.
4. Retrain AI models using updated data.
5. Implement recommendation performance dashboards.</t>
  </si>
  <si>
    <t>AI Analytics Team
Store Operations Leadership</t>
  </si>
  <si>
    <t>AI Model Drift</t>
  </si>
  <si>
    <t>The risk that AI model performance gradually deteriorates over time due to changing business conditions and customer behavior.</t>
  </si>
  <si>
    <t>This risk may be caused by evolving consumer preferences, changing market conditions, seasonality, economic fluctuations, and differences between training data and current operational environments.</t>
  </si>
  <si>
    <t>This may result in declining prediction accuracy, poor operational recommendations, reduced business value, and increased operational risk.</t>
  </si>
  <si>
    <t>FINANCIAL: Reduced effectiveness of AI investments.
OPERATIONAL: Decreased forecasting and decision-making accuracy.
TECHNICAL: Reduced model reliability and performance.
STRATEGIC: Delayed realization of AI transformation benefits.</t>
  </si>
  <si>
    <t>1. Implement continuous model performance monitoring.
2. Establish automated model drift detection.
3. Schedule regular model retraining cycles.
4. Maintain model governance processes.
5. Conduct periodic performance reviews.</t>
  </si>
  <si>
    <t>Machine Learning Operations Team
AI Governance Committee</t>
  </si>
  <si>
    <t>The risk that AI-powered systems become unavailable and disrupt Walmart frontline operations.</t>
  </si>
  <si>
    <t>This risk may be caused by cloud service outages, software failures, infrastructure disruptions, network failures, hardware issues, or insufficient system resilience.</t>
  </si>
  <si>
    <t>This may result in operational disruption, reduced employee productivity, delayed customer service, inventory management failures, and lost revenue.</t>
  </si>
  <si>
    <t>FINANCIAL: Revenue losses and increased recovery costs.
OPERATIONAL: Significant disruption to store operations and frontline workflows.
CUSTOMER: Reduced service quality and customer satisfaction.
TECHNICAL: Reduced availability of critical AI-enabled business services.</t>
  </si>
  <si>
    <t>1. Implement redundant system architecture.
2. Establish disaster recovery and business continuity plans.
3. Conduct resilience and failover testing.
4. Deploy real-time monitoring and alerting.
5. Maintain backup operational procedures.</t>
  </si>
  <si>
    <t>Infrastructure Operations Team
Enterprise Technology Services</t>
  </si>
  <si>
    <t>Legacy System Integration Failure</t>
  </si>
  <si>
    <t>The risk that newly implemented AI solutions fail to integrate effectively with Walmart's existing technology infrastructure.</t>
  </si>
  <si>
    <t>This risk may be caused by incompatible systems, outdated legacy platforms, complex data architecture, insufficient testing, and integration design weaknesses.</t>
  </si>
  <si>
    <t>This may result in system errors, operational disruptions, inaccurate data flows, delayed implementation timelines, and increased project costs.</t>
  </si>
  <si>
    <t>FINANCIAL: Increased implementation and maintenance costs.
OPERATIONAL: Operational disruption due to system incompatibility.
TECHNICAL: Reduced system reliability and data consistency.
STRATEGIC: Delayed AI transformation objectives.</t>
  </si>
  <si>
    <t>Conduct comprehensive integration testing.
Use phased deployment strategies.
Establish API governance standards.
Maintain rollback procedures.
Perform architecture reviews before deployment.</t>
  </si>
  <si>
    <t>Enterprise Architecture Team
Technology Integration Office</t>
  </si>
  <si>
    <t>Vendor Dependency</t>
  </si>
  <si>
    <t>The risk that Walmart becomes excessively dependent on external technology providers supporting AI-powered frontline operations.</t>
  </si>
  <si>
    <t>This risk may be caused by concentration of critical AI services within a small number of vendors, high switching costs, proprietary technologies, and long-term contractual dependencies.</t>
  </si>
  <si>
    <t>This may result in reduced strategic flexibility, increased costs, service disruptions, and limited ability to respond to changing business requirements.</t>
  </si>
  <si>
    <t>FINANCIAL: Increased vendor costs and reduced negotiation leverage.
OPERATIONAL: Service disruptions if vendors experience performance issues.
TECHNICAL: Concentration risk within critical AI infrastructure.
STRATEGIC: Reduced flexibility in future technology decisions.</t>
  </si>
  <si>
    <t>Develop multi-vendor sourcing strategies.
Conduct regular vendor risk assessments.
Maintain contractual service-level agreements (SLAs).
Establish contingency migration plans.
Monitor vendor performance and financial stability.</t>
  </si>
  <si>
    <t>Vendor Management Office
Technology Procurement Team</t>
  </si>
  <si>
    <t>The risk that customer information is exposed, accessed, disclosed, or stolen through AI-powered systems supporting Walmart's frontline operations.</t>
  </si>
  <si>
    <t>This risk may be caused by cyberattacks, unauthorized access, system vulnerabilities, inadequate security controls, third-party vendor weaknesses, or improper handling of customer data used by AI applications.</t>
  </si>
  <si>
    <t>This may result in exposure of personally identifiable information (PII), regulatory investigations, financial penalties, litigation, customer trust erosion, and reputational damage.</t>
  </si>
  <si>
    <t>FINANCIAL: Significant legal costs, regulatory fines, and remediation expenses.
LEGAL/COMPLIANCE: Potential violations of privacy regulations including CCPA, GDPR, and emerging AI governance requirements.
REPUTATIONAL: Loss of customer trust and increased negative media attention.
CUSTOMER: Increased concerns regarding privacy and data protection.</t>
  </si>
  <si>
    <t>Implement Zero-Trust security architecture.
Encrypt customer data at rest and in transit.
Conduct regular penetration testing.
Implement multi-factor authentication.
Continuously monitor third-party vendor security controls.
Maintain incident response and breach notification procedures.</t>
  </si>
  <si>
    <t>Privacy Office
Cybersecurity Operations Center</t>
  </si>
  <si>
    <t>The risk that Walmart's frontline AI systems fail to comply with applicable laws, regulations, industry standards, or emerging AI governance requirements.</t>
  </si>
  <si>
    <t>This risk may be caused by rapidly evolving AI regulations, inadequate compliance monitoring, insufficient governance frameworks, inconsistent implementation of policies, and lack of regulatory awareness.</t>
  </si>
  <si>
    <t>This may result in regulatory investigations, enforcement actions, financial penalties, operational restrictions, and increased compliance costs.</t>
  </si>
  <si>
    <t>FINANCIAL: Regulatory fines and increased compliance expenditures.
LEGAL/COMPLIANCE: Regulatory investigations and enforcement actions.
REPUTATIONAL: Negative publicity associated with compliance failures.
STRATEGIC: Delays in AI deployment and increased governance requirements.</t>
  </si>
  <si>
    <t>Establish enterprise AI governance framework.
Conduct periodic compliance audits.
Maintain regulatory monitoring programs.
Involve Legal and Compliance teams in AI projects.
Develop AI risk and control documentation.</t>
  </si>
  <si>
    <t>General Counsel
AI Governance Committee</t>
  </si>
  <si>
    <t>Algorithmic Bias &amp; Ethical AI Issues</t>
  </si>
  <si>
    <t>The risk that AI systems generate unfair, discriminatory, or biased outcomes affecting customers, employees, or business decisions.</t>
  </si>
  <si>
    <t>This risk may be caused by biased training data, inadequate model testing, lack of diversity in data sources, insufficient governance oversight, and limitations in AI model design.</t>
  </si>
  <si>
    <t>This may result in unfair workforce scheduling decisions, unequal customer treatment, discrimination claims, regulatory scrutiny, and reputational damage.</t>
  </si>
  <si>
    <t>LEGAL/COMPLIANCE: Potential discrimination claims and regulatory investigations.
REPUTATIONAL: Public criticism regarding AI fairness and ethics.
OPERATIONAL: Reduced confidence in AI-supported decision making.
STRATEGIC: Increased restrictions on AI deployment and adoption.</t>
  </si>
  <si>
    <t>Conduct bias testing before deployment.
Implement Responsible AI governance standards.
Establish independent AI review processes.
Maintain human oversight for high-impact decisions.
Perform periodic fairness assessments and audits.</t>
  </si>
  <si>
    <t>Chief Compliance Officer
AI Governance Committee</t>
  </si>
  <si>
    <t>Priority</t>
  </si>
  <si>
    <t>Impact / Likelihood</t>
  </si>
  <si>
    <t>Low risk</t>
  </si>
  <si>
    <t>Medium risk</t>
  </si>
  <si>
    <t>High risk</t>
  </si>
  <si>
    <t>1~14</t>
  </si>
  <si>
    <t>15~39</t>
  </si>
  <si>
    <t>40~81</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</si>
  <si>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</si>
  <si>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</si>
  <si>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</si>
  <si>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</si>
  <si>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</si>
  <si>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</si>
  <si>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</si>
  <si>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</si>
  <si>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</si>
  <si>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</si>
  <si>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</si>
  <si>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</si>
  <si>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</si>
  <si>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</si>
  <si>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</si>
  <si>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</si>
  <si>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</si>
  <si>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</si>
  <si>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</si>
  <si>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</si>
  <si>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</si>
  <si>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</si>
  <si>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</si>
  <si>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</si>
  <si>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</si>
  <si>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</si>
  <si>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</si>
  <si>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</si>
  <si>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</si>
  <si>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</si>
  <si>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Walmart Frontline AI Transformation Risk Heat Map</t>
  </si>
  <si>
    <t>Risk Level</t>
  </si>
  <si>
    <t>Score Range</t>
  </si>
  <si>
    <t xml:space="preserve"> Color</t>
  </si>
  <si>
    <t>Risk Threshold Definition</t>
  </si>
  <si>
    <r>
      <rPr>
        <b/>
        <sz val="11"/>
        <color theme="1"/>
        <rFont val="Arial"/>
        <family val="2"/>
      </rPr>
      <t>Risk Heat Map Interpretation:</t>
    </r>
    <r>
      <rPr>
        <sz val="11"/>
        <color theme="1"/>
        <rFont val="Arial"/>
        <family val="2"/>
      </rPr>
      <t xml:space="preserve">
The risk heat map illustrates the distribution of identified risks based on their likelihood and impact scores. The horizontal axis represents the likelihood of occurrence, while the vertical axis represents the potential business impact. Each risk was positioned according to its assessed likelihood and impact score, and the color gradient reflects the corresponding total risk score (Likelihood × Impact).
The heat map indicates that the highest-priority risks are concentrated in the upper-right region of the matrix, where both likelihood and impact are elevated. Key risks within this area include Inventory Forecast Error (R9), Stockout Risk (R10), Fulfillment Disruption (R13), Legacy System Integration Failure (R26), Vendor Dependency (R27), Customer Data Breach (R28), ROI Realization Failure (R4), and System Downtime (R25). These risks have the greatest potential to affect Walmart’s frontline AI transformation and therefore require the highest level of management attention and mitigation planning. Lower-priority risks such as Expected Labor Cost Reduction Not Achieved (R8) and Algorithmic Bias &amp; Ethical AI Issues (R30) are positioned in the lower-left portion of the matrix, indicating relatively lower business impact and/or likelihood.</t>
    </r>
  </si>
  <si>
    <r>
      <rPr>
        <b/>
        <sz val="11"/>
        <color theme="1"/>
        <rFont val="Arial"/>
        <family val="2"/>
      </rPr>
      <t>Risk Score Ranking Interpretation:</t>
    </r>
    <r>
      <rPr>
        <sz val="11"/>
        <color theme="1"/>
        <rFont val="Arial"/>
        <family val="2"/>
      </rPr>
      <t xml:space="preserve">
The risk score ranking chart presents all identified risks in descending order based on their total risk scores, calculated as the product of likelihood and impact. This visualization supports management prioritization by clearly identifying which risks pose the greatest threat to the successful implementation of Walmart’s frontline AI transformation initiatives.
The results show that Inventory Forecast Error (R9), Stockout Risk (R10), and Fulfillment Disruption (R13) are the highest-ranked risks, each receiving a total risk score of 56. These are followed by Legacy System Integration Failure (R26) and Vendor Dependency (R27), both with scores of 42, and Customer Data Breach (R28), ROI Realization Failure (R4), and System Downtime (R25), each with scores of 40. These risks represent the most significant operational, technical, and strategic concerns and should be prioritized for monitoring, mitigation, and executive oversight. In contrast, lower-ranked risks such as Expected Labor Cost Reduction Not Achieved (R8) and Algorithmic Bias &amp; Ethical AI Issues (R30) have comparatively lower risk scores and may require less immediate management attention.</t>
    </r>
  </si>
  <si>
    <t>These thresholds were consistently applied throughout both the Excel and Python heat maps. Risks classified as High Risk require immediate management attention and active mitigation strategies. Medium Risk items should be monitored and managed through appropriate controls, while Low Risk items may be accepted, monitored periodically, or addressed through routine operational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</si>
</sst>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0" x14ac:knownFonts="1">
    <font>
      <sz val="11"/>
      <color theme="1"/>
      <name val="Arial"/>
    </font>
    <font>
      <sz val="11"/>
      <color theme="1"/>
      <name val="Calibri"/>
      <family val="2"/>
      <scheme val="minor"/>
    </font>
    <font>
      <sz val="11"/>
      <color theme="1"/>
      <name val="Calibri"/>
      <family val="2"/>
      <scheme val="minor"/>
    </font>
    <font>
      <b/>
      <sz val="11"/>
      <color theme="0"/>
      <name val="Calibri"/>
      <family val="2"/>
    </font>
    <font>
      <sz val="11"/>
      <color theme="0"/>
      <name val="Calibri"/>
      <family val="2"/>
    </font>
    <font>
      <sz val="11"/>
      <color theme="1"/>
      <name val="Calibri"/>
      <family val="2"/>
    </font>
    <font>
      <sz val="14"/>
      <color theme="1"/>
      <name val="Calibri"/>
      <family val="2"/>
    </font>
    <font>
      <sz val="11"/>
      <color theme="1"/>
      <name val="Arial"/>
      <family val="2"/>
    </font>
    <font>
      <b/>
      <sz val="11"/>
      <color theme="0"/>
      <name val="Calibri"/>
      <family val="2"/>
      <scheme val="minor"/>
    </font>
    <font>
      <b/>
      <sz val="11"/>
      <color theme="0"/>
      <name val="Arial"/>
      <family val="2"/>
    </font>
    <font>
      <b/>
      <sz val="14"/>
      <color theme="1"/>
      <name val="Arial"/>
      <family val="2"/>
    </font>
    <font>
      <b/>
      <sz val="12"/>
      <color rgb="FF000000"/>
      <name val="Calibri"/>
      <family val="2"/>
    </font>
    <font>
      <sz val="9"/>
      <name val="Calibri"/>
      <family val="2"/>
    </font>
    <font>
      <b/>
      <sz val="12"/>
      <color theme="0"/>
      <name val="Calibri"/>
      <family val="2"/>
    </font>
    <font>
      <b/>
      <sz val="11"/>
      <color rgb="FFC00000"/>
      <name val="Calibri"/>
      <family val="2"/>
    </font>
    <font>
      <sz val="8"/>
      <name val="Arial"/>
      <family val="2"/>
    </font>
    <font>
      <sz val="11"/>
      <name val="Calibri"/>
      <family val="2"/>
    </font>
    <font>
      <sz val="8"/>
      <name val="Arial"/>
    </font>
    <font>
      <b/>
      <sz val="11"/>
      <color theme="1"/>
      <name val="Arial"/>
      <family val="2"/>
    </font>
    <font>
      <b/>
      <sz val="18"/>
      <color theme="1"/>
      <name val="Arial"/>
      <family val="2"/>
    </font>
  </fonts>
  <fills count="16">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rgb="FF0070C0"/>
        <bgColor indexed="64"/>
      </patternFill>
    </fill>
    <fill>
      <patternFill patternType="solid">
        <fgColor theme="8" tint="0.79998168889431442"/>
        <bgColor indexed="64"/>
      </patternFill>
    </fill>
    <fill>
      <patternFill patternType="solid">
        <fgColor rgb="FF0070C0"/>
        <bgColor rgb="FFFFFF00"/>
      </patternFill>
    </fill>
    <fill>
      <patternFill patternType="solid">
        <fgColor theme="8" tint="0.39997558519241921"/>
        <bgColor rgb="FF00B050"/>
      </patternFill>
    </fill>
    <fill>
      <patternFill patternType="solid">
        <fgColor theme="8" tint="0.79998168889431442"/>
        <bgColor rgb="FFFFFF00"/>
      </patternFill>
    </fill>
    <fill>
      <patternFill patternType="solid">
        <fgColor theme="2" tint="-4.9989318521683403E-2"/>
        <bgColor rgb="FFFFEBEE"/>
      </patternFill>
    </fill>
    <fill>
      <patternFill patternType="solid">
        <fgColor theme="2" tint="-4.9989318521683403E-2"/>
        <bgColor rgb="FFC00000"/>
      </patternFill>
    </fill>
    <fill>
      <patternFill patternType="solid">
        <fgColor theme="2" tint="-4.9989318521683403E-2"/>
        <bgColor rgb="FFE8F5E9"/>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DBDBD"/>
      </left>
      <right style="thin">
        <color rgb="FFBDBDBD"/>
      </right>
      <top style="thin">
        <color rgb="FFBDBDBD"/>
      </top>
      <bottom style="thin">
        <color rgb="FFBDBDBD"/>
      </bottom>
      <diagonal/>
    </border>
    <border>
      <left/>
      <right/>
      <top/>
      <bottom style="thin">
        <color indexed="64"/>
      </bottom>
      <diagonal/>
    </border>
  </borders>
  <cellStyleXfs count="1">
    <xf numFmtId="0" fontId="0" fillId="0" borderId="0"/>
  </cellStyleXfs>
  <cellXfs count="58">
    <xf numFmtId="0" fontId="0" fillId="0" borderId="0" xfId="0"/>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5" fillId="0" borderId="0" xfId="0" applyFont="1" applyAlignment="1">
      <alignment vertical="top" wrapText="1"/>
    </xf>
    <xf numFmtId="0" fontId="4" fillId="0" borderId="0" xfId="0" applyFont="1" applyAlignment="1">
      <alignment horizontal="left" vertical="top" wrapText="1"/>
    </xf>
    <xf numFmtId="0" fontId="5" fillId="3" borderId="1" xfId="0" applyFont="1" applyFill="1" applyBorder="1" applyAlignment="1">
      <alignment horizontal="lef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9" fontId="5" fillId="3" borderId="1" xfId="0" applyNumberFormat="1" applyFont="1" applyFill="1" applyBorder="1" applyAlignment="1">
      <alignment horizontal="left" vertical="top" wrapText="1"/>
    </xf>
    <xf numFmtId="6" fontId="5" fillId="3" borderId="1" xfId="0" applyNumberFormat="1" applyFont="1" applyFill="1" applyBorder="1" applyAlignment="1">
      <alignment horizontal="left" vertical="top" wrapText="1"/>
    </xf>
    <xf numFmtId="0" fontId="6" fillId="0" borderId="0" xfId="0" applyFont="1" applyAlignment="1">
      <alignment vertical="top" wrapText="1"/>
    </xf>
    <xf numFmtId="0" fontId="7" fillId="0" borderId="0" xfId="0" applyFont="1"/>
    <xf numFmtId="0" fontId="2" fillId="0" borderId="0" xfId="0" applyFont="1"/>
    <xf numFmtId="0" fontId="4" fillId="2" borderId="4" xfId="0" applyFont="1" applyFill="1" applyBorder="1" applyAlignment="1">
      <alignment horizontal="left" vertical="top" wrapText="1"/>
    </xf>
    <xf numFmtId="0" fontId="3" fillId="4" borderId="3" xfId="0" applyFont="1" applyFill="1" applyBorder="1" applyAlignment="1">
      <alignment vertical="top" wrapText="1"/>
    </xf>
    <xf numFmtId="0" fontId="9" fillId="4" borderId="3" xfId="0" applyFont="1" applyFill="1" applyBorder="1"/>
    <xf numFmtId="0" fontId="5" fillId="5" borderId="3" xfId="0" applyFont="1" applyFill="1" applyBorder="1" applyAlignment="1">
      <alignment vertical="top" wrapText="1"/>
    </xf>
    <xf numFmtId="0" fontId="8" fillId="4" borderId="0" xfId="0" applyFont="1" applyFill="1"/>
    <xf numFmtId="0" fontId="7" fillId="5" borderId="3" xfId="0" applyFont="1" applyFill="1" applyBorder="1"/>
    <xf numFmtId="0" fontId="0" fillId="0" borderId="0" xfId="0" applyAlignment="1">
      <alignment horizontal="center"/>
    </xf>
    <xf numFmtId="0" fontId="13" fillId="6" borderId="1" xfId="0" applyFont="1" applyFill="1" applyBorder="1" applyAlignment="1">
      <alignment horizontal="left" vertical="top" wrapText="1" readingOrder="1"/>
    </xf>
    <xf numFmtId="0" fontId="11" fillId="7" borderId="1" xfId="0" applyFont="1" applyFill="1" applyBorder="1" applyAlignment="1">
      <alignment horizontal="left" vertical="top" wrapText="1" readingOrder="1"/>
    </xf>
    <xf numFmtId="0" fontId="11" fillId="8" borderId="1" xfId="0" applyFont="1" applyFill="1" applyBorder="1" applyAlignment="1">
      <alignment horizontal="left" vertical="top" wrapText="1" readingOrder="1"/>
    </xf>
    <xf numFmtId="0" fontId="12" fillId="9" borderId="8" xfId="0" applyFont="1" applyFill="1" applyBorder="1" applyAlignment="1">
      <alignment horizontal="left" vertical="top" wrapText="1"/>
    </xf>
    <xf numFmtId="14" fontId="12" fillId="9" borderId="8" xfId="0" applyNumberFormat="1" applyFont="1" applyFill="1" applyBorder="1" applyAlignment="1">
      <alignment horizontal="left" vertical="top" wrapText="1"/>
    </xf>
    <xf numFmtId="0" fontId="12" fillId="11" borderId="8" xfId="0" applyFont="1" applyFill="1" applyBorder="1" applyAlignment="1">
      <alignment horizontal="left" vertical="top" wrapText="1"/>
    </xf>
    <xf numFmtId="14" fontId="12" fillId="11" borderId="8" xfId="0" applyNumberFormat="1" applyFont="1" applyFill="1" applyBorder="1" applyAlignment="1">
      <alignment horizontal="left" vertical="top" wrapText="1"/>
    </xf>
    <xf numFmtId="0" fontId="14" fillId="10" borderId="8" xfId="0" applyFont="1" applyFill="1" applyBorder="1" applyAlignment="1">
      <alignment horizontal="left" vertical="top"/>
    </xf>
    <xf numFmtId="0" fontId="9" fillId="4" borderId="0" xfId="0" applyFont="1" applyFill="1" applyAlignment="1">
      <alignment horizontal="center"/>
    </xf>
    <xf numFmtId="0" fontId="2" fillId="0" borderId="0" xfId="0" applyFont="1" applyAlignment="1">
      <alignment horizontal="center"/>
    </xf>
    <xf numFmtId="0" fontId="8" fillId="4" borderId="0" xfId="0" applyFont="1" applyFill="1" applyAlignment="1">
      <alignment horizontal="center"/>
    </xf>
    <xf numFmtId="0" fontId="0" fillId="0" borderId="3" xfId="0" applyBorder="1" applyAlignment="1">
      <alignment horizontal="center"/>
    </xf>
    <xf numFmtId="0" fontId="12" fillId="9" borderId="3" xfId="0" applyFont="1" applyFill="1" applyBorder="1" applyAlignment="1">
      <alignment horizontal="left" vertical="top" wrapText="1"/>
    </xf>
    <xf numFmtId="0" fontId="12" fillId="11" borderId="3" xfId="0" applyFont="1" applyFill="1" applyBorder="1" applyAlignment="1">
      <alignment horizontal="left" vertical="top" wrapText="1"/>
    </xf>
    <xf numFmtId="0" fontId="16" fillId="9" borderId="3" xfId="0" applyFont="1" applyFill="1" applyBorder="1" applyAlignment="1">
      <alignment horizontal="left" vertical="top" wrapText="1"/>
    </xf>
    <xf numFmtId="0" fontId="16" fillId="11" borderId="3" xfId="0" applyFont="1" applyFill="1" applyBorder="1" applyAlignment="1">
      <alignment horizontal="left" vertical="top" wrapText="1"/>
    </xf>
    <xf numFmtId="0" fontId="10" fillId="0" borderId="2" xfId="0" applyFont="1" applyBorder="1" applyAlignment="1">
      <alignment horizontal="center" vertical="center"/>
    </xf>
    <xf numFmtId="9" fontId="5" fillId="3" borderId="5" xfId="0" applyNumberFormat="1" applyFont="1" applyFill="1" applyBorder="1" applyAlignment="1">
      <alignment horizontal="left" vertical="top" wrapText="1"/>
    </xf>
    <xf numFmtId="9" fontId="5" fillId="3" borderId="6" xfId="0" applyNumberFormat="1" applyFont="1" applyFill="1" applyBorder="1" applyAlignment="1">
      <alignment horizontal="left" vertical="top" wrapText="1"/>
    </xf>
    <xf numFmtId="9" fontId="5" fillId="3" borderId="7" xfId="0" applyNumberFormat="1" applyFont="1" applyFill="1" applyBorder="1" applyAlignment="1">
      <alignment horizontal="left" vertical="top" wrapText="1"/>
    </xf>
    <xf numFmtId="0" fontId="5" fillId="3" borderId="5"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7" xfId="0" applyFont="1" applyFill="1" applyBorder="1" applyAlignment="1">
      <alignment horizontal="left" vertical="top" wrapText="1"/>
    </xf>
    <xf numFmtId="17" fontId="7" fillId="0" borderId="0" xfId="0" applyNumberFormat="1" applyFont="1"/>
    <xf numFmtId="0" fontId="1" fillId="12" borderId="3" xfId="0" applyFont="1" applyFill="1" applyBorder="1" applyAlignment="1">
      <alignment horizontal="center"/>
    </xf>
    <xf numFmtId="0" fontId="0" fillId="13" borderId="0" xfId="0" applyFill="1"/>
    <xf numFmtId="0" fontId="0" fillId="14" borderId="0" xfId="0" applyFill="1"/>
    <xf numFmtId="0" fontId="0" fillId="15" borderId="0" xfId="0" applyFill="1"/>
    <xf numFmtId="0" fontId="18" fillId="0" borderId="0" xfId="0" applyFont="1"/>
    <xf numFmtId="0" fontId="18" fillId="0" borderId="3" xfId="0" applyFont="1" applyBorder="1" applyAlignment="1">
      <alignment horizontal="center" vertical="center"/>
    </xf>
    <xf numFmtId="0" fontId="18" fillId="5" borderId="3" xfId="0" applyFont="1" applyFill="1" applyBorder="1" applyAlignment="1">
      <alignment horizontal="center"/>
    </xf>
    <xf numFmtId="0" fontId="19" fillId="0" borderId="9" xfId="0" applyFont="1" applyBorder="1" applyAlignment="1">
      <alignment horizontal="center" vertical="center"/>
    </xf>
    <xf numFmtId="17" fontId="18" fillId="0" borderId="0" xfId="0" applyNumberFormat="1" applyFont="1" applyFill="1"/>
    <xf numFmtId="0" fontId="18" fillId="0" borderId="0" xfId="0" applyFont="1" applyFill="1"/>
    <xf numFmtId="0" fontId="10" fillId="0" borderId="0" xfId="0" applyFont="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3">
    <dxf>
      <fill>
        <patternFill>
          <bgColor rgb="FF00B050"/>
        </patternFill>
      </fill>
    </dxf>
    <dxf>
      <fill>
        <patternFill>
          <bgColor rgb="FFFFFF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483810</xdr:colOff>
      <xdr:row>35</xdr:row>
      <xdr:rowOff>22874</xdr:rowOff>
    </xdr:to>
    <xdr:pic>
      <xdr:nvPicPr>
        <xdr:cNvPr id="3" name="Picture 2">
          <a:extLst>
            <a:ext uri="{FF2B5EF4-FFF2-40B4-BE49-F238E27FC236}">
              <a16:creationId xmlns:a16="http://schemas.microsoft.com/office/drawing/2014/main" id="{A8195D4F-0668-E802-C127-73845BCD57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219480" cy="6356999"/>
        </a:xfrm>
        <a:prstGeom prst="rect">
          <a:avLst/>
        </a:prstGeom>
      </xdr:spPr>
    </xdr:pic>
    <xdr:clientData/>
  </xdr:twoCellAnchor>
  <xdr:twoCellAnchor editAs="oneCell">
    <xdr:from>
      <xdr:col>0</xdr:col>
      <xdr:colOff>0</xdr:colOff>
      <xdr:row>48</xdr:row>
      <xdr:rowOff>112059</xdr:rowOff>
    </xdr:from>
    <xdr:to>
      <xdr:col>13</xdr:col>
      <xdr:colOff>590983</xdr:colOff>
      <xdr:row>92</xdr:row>
      <xdr:rowOff>82269</xdr:rowOff>
    </xdr:to>
    <xdr:pic>
      <xdr:nvPicPr>
        <xdr:cNvPr id="5" name="Picture 4">
          <a:extLst>
            <a:ext uri="{FF2B5EF4-FFF2-40B4-BE49-F238E27FC236}">
              <a16:creationId xmlns:a16="http://schemas.microsoft.com/office/drawing/2014/main" id="{3198D160-A8CD-8235-31E2-157C769B68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8706971"/>
          <a:ext cx="10295277" cy="785915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7"/>
  <sheetViews>
    <sheetView showGridLines="0" zoomScale="115" zoomScaleNormal="115" workbookViewId="0">
      <selection activeCell="C26" sqref="C26"/>
    </sheetView>
  </sheetViews>
  <sheetFormatPr defaultColWidth="12.625" defaultRowHeight="15" customHeight="1" x14ac:dyDescent="0.2"/>
  <cols>
    <col min="1" max="1" width="31.25" customWidth="1"/>
    <col min="2" max="2" width="5" customWidth="1"/>
    <col min="3" max="3" width="31.875" customWidth="1"/>
    <col min="4" max="4" width="35" customWidth="1"/>
    <col min="5" max="5" width="33.625" customWidth="1"/>
    <col min="6" max="6" width="31.25" customWidth="1"/>
    <col min="7" max="26" width="32.75" customWidth="1"/>
  </cols>
  <sheetData>
    <row r="1" spans="1:26" ht="22.5" customHeight="1" x14ac:dyDescent="0.2">
      <c r="A1" s="36" t="s">
        <v>93</v>
      </c>
      <c r="B1" s="36"/>
      <c r="C1" s="36"/>
      <c r="D1" s="36"/>
      <c r="E1" s="36"/>
      <c r="F1" s="36"/>
      <c r="G1" s="36"/>
      <c r="H1" s="36"/>
    </row>
    <row r="2" spans="1:26" x14ac:dyDescent="0.25">
      <c r="A2" s="1" t="s">
        <v>0</v>
      </c>
      <c r="B2" s="13"/>
      <c r="C2" s="14" t="s">
        <v>37</v>
      </c>
      <c r="D2" s="14" t="s">
        <v>43</v>
      </c>
      <c r="E2" s="14" t="s">
        <v>49</v>
      </c>
      <c r="F2" s="14" t="s">
        <v>55</v>
      </c>
      <c r="G2" s="15" t="s">
        <v>61</v>
      </c>
      <c r="H2" s="14" t="s">
        <v>67</v>
      </c>
      <c r="I2" s="3"/>
      <c r="J2" s="3"/>
      <c r="K2" s="3"/>
      <c r="L2" s="3"/>
      <c r="M2" s="3"/>
      <c r="N2" s="3"/>
      <c r="O2" s="3"/>
      <c r="P2" s="3"/>
      <c r="Q2" s="3"/>
      <c r="R2" s="3"/>
      <c r="S2" s="3"/>
      <c r="T2" s="3"/>
      <c r="U2" s="3"/>
      <c r="V2" s="3"/>
      <c r="W2" s="3"/>
      <c r="X2" s="3"/>
      <c r="Y2" s="3"/>
      <c r="Z2" s="3"/>
    </row>
    <row r="3" spans="1:26" x14ac:dyDescent="0.2">
      <c r="A3" s="2" t="s">
        <v>1</v>
      </c>
      <c r="B3" s="13">
        <v>1</v>
      </c>
      <c r="C3" s="16" t="s">
        <v>38</v>
      </c>
      <c r="D3" s="16" t="s">
        <v>44</v>
      </c>
      <c r="E3" s="16" t="s">
        <v>50</v>
      </c>
      <c r="F3" s="16" t="s">
        <v>56</v>
      </c>
      <c r="G3" s="18" t="s">
        <v>62</v>
      </c>
      <c r="H3" s="16" t="s">
        <v>68</v>
      </c>
      <c r="I3" s="3"/>
      <c r="J3" s="3"/>
      <c r="K3" s="3"/>
      <c r="L3" s="3"/>
      <c r="M3" s="3"/>
      <c r="N3" s="3"/>
      <c r="O3" s="3"/>
      <c r="P3" s="3"/>
      <c r="Q3" s="3"/>
      <c r="R3" s="3"/>
      <c r="S3" s="3"/>
      <c r="T3" s="3"/>
      <c r="U3" s="3"/>
      <c r="V3" s="3"/>
      <c r="W3" s="3"/>
      <c r="X3" s="3"/>
      <c r="Y3" s="3"/>
      <c r="Z3" s="3"/>
    </row>
    <row r="4" spans="1:26" x14ac:dyDescent="0.2">
      <c r="A4" s="2" t="s">
        <v>2</v>
      </c>
      <c r="B4" s="13">
        <v>3</v>
      </c>
      <c r="C4" s="16" t="s">
        <v>39</v>
      </c>
      <c r="D4" s="16" t="s">
        <v>45</v>
      </c>
      <c r="E4" s="16" t="s">
        <v>51</v>
      </c>
      <c r="F4" s="16" t="s">
        <v>57</v>
      </c>
      <c r="G4" s="18" t="s">
        <v>63</v>
      </c>
      <c r="H4" s="16" t="s">
        <v>69</v>
      </c>
      <c r="I4" s="3"/>
      <c r="J4" s="3"/>
      <c r="K4" s="3"/>
      <c r="L4" s="3"/>
      <c r="M4" s="3"/>
      <c r="N4" s="3"/>
      <c r="O4" s="3"/>
      <c r="P4" s="3"/>
      <c r="Q4" s="3"/>
      <c r="R4" s="3"/>
      <c r="S4" s="3"/>
      <c r="T4" s="3"/>
      <c r="U4" s="3"/>
      <c r="V4" s="3"/>
      <c r="W4" s="3"/>
      <c r="X4" s="3"/>
      <c r="Y4" s="3"/>
      <c r="Z4" s="3"/>
    </row>
    <row r="5" spans="1:26" ht="30" x14ac:dyDescent="0.2">
      <c r="A5" s="2" t="s">
        <v>3</v>
      </c>
      <c r="B5" s="13">
        <v>5</v>
      </c>
      <c r="C5" s="16" t="s">
        <v>40</v>
      </c>
      <c r="D5" s="16" t="s">
        <v>46</v>
      </c>
      <c r="E5" s="16" t="s">
        <v>52</v>
      </c>
      <c r="F5" s="16" t="s">
        <v>58</v>
      </c>
      <c r="G5" s="18" t="s">
        <v>64</v>
      </c>
      <c r="H5" s="16" t="s">
        <v>70</v>
      </c>
      <c r="I5" s="3"/>
      <c r="J5" s="3"/>
      <c r="K5" s="3"/>
      <c r="L5" s="3"/>
      <c r="M5" s="3"/>
      <c r="N5" s="3"/>
      <c r="O5" s="3"/>
      <c r="P5" s="3"/>
      <c r="Q5" s="3"/>
      <c r="R5" s="3"/>
      <c r="S5" s="3"/>
      <c r="T5" s="3"/>
      <c r="U5" s="3"/>
      <c r="V5" s="3"/>
      <c r="W5" s="3"/>
      <c r="X5" s="3"/>
      <c r="Y5" s="3"/>
      <c r="Z5" s="3"/>
    </row>
    <row r="6" spans="1:26" ht="30" x14ac:dyDescent="0.2">
      <c r="A6" s="2" t="s">
        <v>4</v>
      </c>
      <c r="B6" s="13">
        <v>7</v>
      </c>
      <c r="C6" s="16" t="s">
        <v>41</v>
      </c>
      <c r="D6" s="16" t="s">
        <v>47</v>
      </c>
      <c r="E6" s="16" t="s">
        <v>53</v>
      </c>
      <c r="F6" s="16" t="s">
        <v>59</v>
      </c>
      <c r="G6" s="18" t="s">
        <v>65</v>
      </c>
      <c r="H6" s="16" t="s">
        <v>71</v>
      </c>
      <c r="I6" s="3"/>
      <c r="J6" s="3"/>
      <c r="K6" s="3"/>
      <c r="L6" s="3"/>
      <c r="M6" s="3"/>
      <c r="N6" s="3"/>
      <c r="O6" s="3"/>
      <c r="P6" s="3"/>
      <c r="Q6" s="3"/>
      <c r="R6" s="3"/>
      <c r="S6" s="3"/>
      <c r="T6" s="3"/>
      <c r="U6" s="3"/>
      <c r="V6" s="3"/>
      <c r="W6" s="3"/>
      <c r="X6" s="3"/>
      <c r="Y6" s="3"/>
      <c r="Z6" s="3"/>
    </row>
    <row r="7" spans="1:26" ht="30" x14ac:dyDescent="0.2">
      <c r="A7" s="2" t="s">
        <v>5</v>
      </c>
      <c r="B7" s="13">
        <v>9</v>
      </c>
      <c r="C7" s="16" t="s">
        <v>42</v>
      </c>
      <c r="D7" s="16" t="s">
        <v>48</v>
      </c>
      <c r="E7" s="16" t="s">
        <v>54</v>
      </c>
      <c r="F7" s="16" t="s">
        <v>60</v>
      </c>
      <c r="G7" s="18" t="s">
        <v>66</v>
      </c>
      <c r="H7" s="16" t="s">
        <v>72</v>
      </c>
      <c r="I7" s="3"/>
      <c r="J7" s="3"/>
      <c r="K7" s="3"/>
      <c r="L7" s="3"/>
      <c r="M7" s="3"/>
      <c r="N7" s="3"/>
      <c r="O7" s="3"/>
      <c r="P7" s="3"/>
      <c r="Q7" s="3"/>
      <c r="R7" s="3"/>
      <c r="S7" s="3"/>
      <c r="T7" s="3"/>
      <c r="U7" s="3"/>
      <c r="V7" s="3"/>
      <c r="W7" s="3"/>
      <c r="X7" s="3"/>
      <c r="Y7" s="3"/>
      <c r="Z7" s="3"/>
    </row>
    <row r="8" spans="1:26" x14ac:dyDescent="0.2">
      <c r="A8" s="3"/>
      <c r="B8" s="3"/>
      <c r="C8" s="3"/>
      <c r="D8" s="3"/>
      <c r="E8" s="3"/>
      <c r="F8" s="3"/>
      <c r="H8" s="3"/>
      <c r="I8" s="3"/>
      <c r="J8" s="3"/>
      <c r="K8" s="3"/>
      <c r="L8" s="3"/>
      <c r="M8" s="3"/>
      <c r="N8" s="3"/>
      <c r="O8" s="3"/>
      <c r="P8" s="3"/>
      <c r="Q8" s="3"/>
      <c r="R8" s="3"/>
      <c r="S8" s="3"/>
      <c r="T8" s="3"/>
      <c r="U8" s="3"/>
      <c r="V8" s="3"/>
      <c r="W8" s="3"/>
      <c r="X8" s="3"/>
      <c r="Y8" s="3"/>
      <c r="Z8" s="3"/>
    </row>
    <row r="9" spans="1:26" x14ac:dyDescent="0.2">
      <c r="A9" s="3"/>
      <c r="B9" s="3"/>
      <c r="C9" s="3"/>
      <c r="D9" s="3"/>
      <c r="E9" s="3"/>
      <c r="F9" s="3"/>
      <c r="H9" s="3"/>
      <c r="I9" s="3"/>
      <c r="J9" s="3"/>
      <c r="K9" s="3"/>
      <c r="L9" s="3"/>
      <c r="M9" s="3"/>
      <c r="N9" s="3"/>
      <c r="O9" s="3"/>
      <c r="P9" s="3"/>
      <c r="Q9" s="3"/>
      <c r="R9" s="3"/>
      <c r="S9" s="3"/>
      <c r="T9" s="3"/>
      <c r="U9" s="3"/>
      <c r="V9" s="3"/>
      <c r="W9" s="3"/>
      <c r="X9" s="3"/>
      <c r="Y9" s="3"/>
      <c r="Z9" s="3"/>
    </row>
    <row r="10" spans="1:26" x14ac:dyDescent="0.2">
      <c r="A10" s="3"/>
      <c r="B10" s="3"/>
      <c r="C10" s="3"/>
      <c r="D10" s="3"/>
      <c r="E10" s="3"/>
      <c r="F10" s="3"/>
      <c r="H10" s="3"/>
      <c r="I10" s="3"/>
      <c r="J10" s="3"/>
      <c r="K10" s="3"/>
      <c r="L10" s="3"/>
      <c r="M10" s="3"/>
      <c r="N10" s="3"/>
      <c r="O10" s="3"/>
      <c r="P10" s="3"/>
      <c r="Q10" s="3"/>
      <c r="R10" s="3"/>
      <c r="S10" s="3"/>
      <c r="T10" s="3"/>
      <c r="U10" s="3"/>
      <c r="V10" s="3"/>
      <c r="W10" s="3"/>
      <c r="X10" s="3"/>
      <c r="Y10" s="3"/>
      <c r="Z10" s="3"/>
    </row>
    <row r="11" spans="1:26" ht="90" x14ac:dyDescent="0.2">
      <c r="A11" s="1" t="s">
        <v>6</v>
      </c>
      <c r="B11" s="2"/>
      <c r="C11" s="1" t="s">
        <v>7</v>
      </c>
      <c r="D11" s="1" t="s">
        <v>8</v>
      </c>
      <c r="E11" s="1" t="s">
        <v>9</v>
      </c>
      <c r="F11" s="1" t="s">
        <v>10</v>
      </c>
      <c r="G11" s="1" t="s">
        <v>11</v>
      </c>
      <c r="H11" s="1" t="s">
        <v>12</v>
      </c>
      <c r="I11" s="4"/>
      <c r="J11" s="4"/>
      <c r="K11" s="4"/>
      <c r="L11" s="4"/>
      <c r="M11" s="4"/>
      <c r="N11" s="4"/>
      <c r="O11" s="4"/>
      <c r="P11" s="4"/>
      <c r="Q11" s="4"/>
      <c r="R11" s="4"/>
      <c r="S11" s="4"/>
      <c r="T11" s="4"/>
      <c r="U11" s="4"/>
      <c r="V11" s="4"/>
      <c r="W11" s="4"/>
      <c r="X11" s="4"/>
      <c r="Y11" s="4"/>
      <c r="Z11" s="4"/>
    </row>
    <row r="12" spans="1:26" ht="30" x14ac:dyDescent="0.2">
      <c r="A12" s="5" t="s">
        <v>13</v>
      </c>
      <c r="B12" s="5">
        <v>1</v>
      </c>
      <c r="C12" s="5" t="s">
        <v>73</v>
      </c>
      <c r="D12" s="5"/>
      <c r="E12" s="5"/>
      <c r="F12" s="5"/>
      <c r="G12" s="5"/>
      <c r="H12" s="6"/>
      <c r="I12" s="7"/>
      <c r="J12" s="7"/>
      <c r="K12" s="7"/>
      <c r="L12" s="7"/>
      <c r="M12" s="7"/>
      <c r="N12" s="7"/>
      <c r="O12" s="7"/>
      <c r="P12" s="7"/>
      <c r="Q12" s="7"/>
      <c r="R12" s="7"/>
      <c r="S12" s="7"/>
      <c r="T12" s="7"/>
      <c r="U12" s="7"/>
      <c r="V12" s="7"/>
      <c r="W12" s="7"/>
      <c r="X12" s="7"/>
      <c r="Y12" s="7"/>
      <c r="Z12" s="7"/>
    </row>
    <row r="13" spans="1:26" x14ac:dyDescent="0.2">
      <c r="A13" s="5" t="s">
        <v>14</v>
      </c>
      <c r="B13" s="5">
        <v>2</v>
      </c>
      <c r="C13" s="5" t="s">
        <v>25</v>
      </c>
      <c r="D13" s="5" t="s">
        <v>74</v>
      </c>
      <c r="E13" s="8"/>
      <c r="F13" s="8" t="s">
        <v>84</v>
      </c>
      <c r="G13" s="8" t="s">
        <v>87</v>
      </c>
      <c r="H13" s="6"/>
      <c r="I13" s="7"/>
      <c r="J13" s="7"/>
      <c r="K13" s="7"/>
      <c r="L13" s="7"/>
      <c r="M13" s="7"/>
      <c r="N13" s="7"/>
      <c r="O13" s="7"/>
      <c r="P13" s="7"/>
      <c r="Q13" s="7"/>
      <c r="R13" s="7"/>
      <c r="S13" s="7"/>
      <c r="T13" s="7"/>
      <c r="U13" s="7"/>
      <c r="V13" s="7"/>
      <c r="W13" s="7"/>
      <c r="X13" s="7"/>
      <c r="Y13" s="7"/>
      <c r="Z13" s="7"/>
    </row>
    <row r="14" spans="1:26" x14ac:dyDescent="0.2">
      <c r="A14" s="40" t="s">
        <v>15</v>
      </c>
      <c r="B14" s="40">
        <v>4</v>
      </c>
      <c r="C14" s="40" t="s">
        <v>27</v>
      </c>
      <c r="D14" s="5" t="s">
        <v>75</v>
      </c>
      <c r="E14" s="37" t="s">
        <v>81</v>
      </c>
      <c r="F14" s="37" t="s">
        <v>85</v>
      </c>
      <c r="G14" s="37" t="s">
        <v>88</v>
      </c>
      <c r="H14" s="40" t="s">
        <v>91</v>
      </c>
      <c r="I14" s="7"/>
      <c r="J14" s="7"/>
      <c r="K14" s="7"/>
      <c r="L14" s="7"/>
      <c r="M14" s="7"/>
      <c r="N14" s="7"/>
      <c r="O14" s="7"/>
      <c r="P14" s="7"/>
      <c r="Q14" s="7"/>
      <c r="R14" s="7"/>
      <c r="S14" s="7"/>
      <c r="T14" s="7"/>
      <c r="U14" s="7"/>
      <c r="V14" s="7"/>
      <c r="W14" s="7"/>
      <c r="X14" s="7"/>
      <c r="Y14" s="7"/>
      <c r="Z14" s="7"/>
    </row>
    <row r="15" spans="1:26" x14ac:dyDescent="0.2">
      <c r="A15" s="41"/>
      <c r="B15" s="41"/>
      <c r="C15" s="41"/>
      <c r="D15" s="5" t="s">
        <v>76</v>
      </c>
      <c r="E15" s="38"/>
      <c r="F15" s="38"/>
      <c r="G15" s="38"/>
      <c r="H15" s="41"/>
      <c r="I15" s="7"/>
      <c r="J15" s="7"/>
      <c r="K15" s="7"/>
      <c r="L15" s="7"/>
      <c r="M15" s="7"/>
      <c r="N15" s="7"/>
      <c r="O15" s="7"/>
      <c r="P15" s="7"/>
      <c r="Q15" s="7"/>
      <c r="R15" s="7"/>
      <c r="S15" s="7"/>
      <c r="T15" s="7"/>
      <c r="U15" s="7"/>
      <c r="V15" s="7"/>
      <c r="W15" s="7"/>
      <c r="X15" s="7"/>
      <c r="Y15" s="7"/>
      <c r="Z15" s="7"/>
    </row>
    <row r="16" spans="1:26" x14ac:dyDescent="0.2">
      <c r="A16" s="42"/>
      <c r="B16" s="42"/>
      <c r="C16" s="42"/>
      <c r="D16" s="5" t="s">
        <v>77</v>
      </c>
      <c r="E16" s="39"/>
      <c r="F16" s="39"/>
      <c r="G16" s="39"/>
      <c r="H16" s="42"/>
      <c r="I16" s="7"/>
      <c r="J16" s="7"/>
      <c r="K16" s="7"/>
      <c r="L16" s="7"/>
      <c r="M16" s="7"/>
      <c r="N16" s="7"/>
      <c r="O16" s="7"/>
      <c r="P16" s="7"/>
      <c r="Q16" s="7"/>
      <c r="R16" s="7"/>
      <c r="S16" s="7"/>
      <c r="T16" s="7"/>
      <c r="U16" s="7"/>
      <c r="V16" s="7"/>
      <c r="W16" s="7"/>
      <c r="X16" s="7"/>
      <c r="Y16" s="7"/>
      <c r="Z16" s="7"/>
    </row>
    <row r="17" spans="1:26" ht="30" customHeight="1" x14ac:dyDescent="0.2">
      <c r="A17" s="40" t="s">
        <v>16</v>
      </c>
      <c r="B17" s="40">
        <v>6</v>
      </c>
      <c r="C17" s="40" t="s">
        <v>26</v>
      </c>
      <c r="D17" s="5" t="s">
        <v>28</v>
      </c>
      <c r="E17" s="37" t="s">
        <v>82</v>
      </c>
      <c r="F17" s="37" t="s">
        <v>86</v>
      </c>
      <c r="G17" s="8" t="s">
        <v>89</v>
      </c>
      <c r="H17" s="40" t="s">
        <v>92</v>
      </c>
      <c r="I17" s="7"/>
      <c r="J17" s="7"/>
      <c r="K17" s="7"/>
      <c r="L17" s="7"/>
      <c r="M17" s="7"/>
      <c r="N17" s="7"/>
      <c r="O17" s="7"/>
      <c r="P17" s="7"/>
      <c r="Q17" s="7"/>
      <c r="R17" s="7"/>
      <c r="S17" s="7"/>
      <c r="T17" s="7"/>
      <c r="U17" s="7"/>
      <c r="V17" s="7"/>
      <c r="W17" s="7"/>
      <c r="X17" s="7"/>
      <c r="Y17" s="7"/>
      <c r="Z17" s="7"/>
    </row>
    <row r="18" spans="1:26" x14ac:dyDescent="0.2">
      <c r="A18" s="41"/>
      <c r="B18" s="41"/>
      <c r="C18" s="41"/>
      <c r="D18" s="5" t="s">
        <v>29</v>
      </c>
      <c r="E18" s="38"/>
      <c r="F18" s="38"/>
      <c r="G18" s="37" t="s">
        <v>90</v>
      </c>
      <c r="H18" s="41"/>
      <c r="I18" s="7"/>
      <c r="J18" s="7"/>
      <c r="K18" s="7"/>
      <c r="L18" s="7"/>
      <c r="M18" s="7"/>
      <c r="N18" s="7"/>
      <c r="O18" s="7"/>
      <c r="P18" s="7"/>
      <c r="Q18" s="7"/>
      <c r="R18" s="7"/>
      <c r="S18" s="7"/>
      <c r="T18" s="7"/>
      <c r="U18" s="7"/>
      <c r="V18" s="7"/>
      <c r="W18" s="7"/>
      <c r="X18" s="7"/>
      <c r="Y18" s="7"/>
      <c r="Z18" s="7"/>
    </row>
    <row r="19" spans="1:26" x14ac:dyDescent="0.2">
      <c r="A19" s="42"/>
      <c r="B19" s="42"/>
      <c r="C19" s="42"/>
      <c r="D19" s="5" t="s">
        <v>78</v>
      </c>
      <c r="E19" s="39"/>
      <c r="F19" s="39"/>
      <c r="G19" s="39"/>
      <c r="H19" s="42"/>
      <c r="I19" s="7"/>
      <c r="J19" s="7"/>
      <c r="K19" s="7"/>
      <c r="L19" s="7"/>
      <c r="M19" s="7"/>
      <c r="N19" s="7"/>
      <c r="O19" s="7"/>
      <c r="P19" s="7"/>
      <c r="Q19" s="7"/>
      <c r="R19" s="7"/>
      <c r="S19" s="7"/>
      <c r="T19" s="7"/>
      <c r="U19" s="7"/>
      <c r="V19" s="7"/>
      <c r="W19" s="7"/>
      <c r="X19" s="7"/>
      <c r="Y19" s="7"/>
      <c r="Z19" s="7"/>
    </row>
    <row r="20" spans="1:26" x14ac:dyDescent="0.2">
      <c r="A20" s="40" t="s">
        <v>17</v>
      </c>
      <c r="B20" s="40">
        <v>8</v>
      </c>
      <c r="C20" s="40" t="s">
        <v>23</v>
      </c>
      <c r="D20" s="5" t="s">
        <v>24</v>
      </c>
      <c r="E20" s="37" t="s">
        <v>83</v>
      </c>
      <c r="F20" s="37" t="s">
        <v>33</v>
      </c>
      <c r="G20" s="37" t="s">
        <v>34</v>
      </c>
      <c r="H20" s="40" t="s">
        <v>35</v>
      </c>
      <c r="I20" s="7"/>
      <c r="J20" s="7"/>
      <c r="K20" s="7"/>
      <c r="L20" s="7"/>
      <c r="M20" s="7"/>
      <c r="N20" s="7"/>
      <c r="O20" s="7"/>
      <c r="P20" s="7"/>
      <c r="Q20" s="7"/>
      <c r="R20" s="7"/>
      <c r="S20" s="7"/>
      <c r="T20" s="7"/>
      <c r="U20" s="7"/>
      <c r="V20" s="7"/>
      <c r="W20" s="7"/>
      <c r="X20" s="7"/>
      <c r="Y20" s="7"/>
      <c r="Z20" s="7"/>
    </row>
    <row r="21" spans="1:26" x14ac:dyDescent="0.2">
      <c r="A21" s="41"/>
      <c r="B21" s="41"/>
      <c r="C21" s="41"/>
      <c r="D21" s="5" t="s">
        <v>79</v>
      </c>
      <c r="E21" s="38"/>
      <c r="F21" s="38"/>
      <c r="G21" s="38"/>
      <c r="H21" s="41"/>
      <c r="I21" s="7"/>
      <c r="J21" s="7"/>
      <c r="K21" s="7"/>
      <c r="L21" s="7"/>
      <c r="M21" s="7"/>
      <c r="N21" s="7"/>
      <c r="O21" s="7"/>
      <c r="P21" s="7"/>
      <c r="Q21" s="7"/>
      <c r="R21" s="7"/>
      <c r="S21" s="7"/>
      <c r="T21" s="7"/>
      <c r="U21" s="7"/>
      <c r="V21" s="7"/>
      <c r="W21" s="7"/>
      <c r="X21" s="7"/>
      <c r="Y21" s="7"/>
      <c r="Z21" s="7"/>
    </row>
    <row r="22" spans="1:26" x14ac:dyDescent="0.2">
      <c r="A22" s="42"/>
      <c r="B22" s="42"/>
      <c r="C22" s="42"/>
      <c r="D22" s="5" t="s">
        <v>80</v>
      </c>
      <c r="E22" s="39"/>
      <c r="F22" s="39"/>
      <c r="G22" s="39"/>
      <c r="H22" s="42"/>
      <c r="I22" s="7"/>
      <c r="J22" s="7"/>
      <c r="K22" s="7"/>
      <c r="L22" s="7"/>
      <c r="M22" s="7"/>
      <c r="N22" s="7"/>
      <c r="O22" s="7"/>
      <c r="P22" s="7"/>
      <c r="Q22" s="7"/>
      <c r="R22" s="7"/>
      <c r="S22" s="7"/>
      <c r="T22" s="7"/>
      <c r="U22" s="7"/>
      <c r="V22" s="7"/>
      <c r="W22" s="7"/>
      <c r="X22" s="7"/>
      <c r="Y22" s="7"/>
      <c r="Z22" s="7"/>
    </row>
    <row r="23" spans="1:26" x14ac:dyDescent="0.2">
      <c r="A23" s="5" t="s">
        <v>18</v>
      </c>
      <c r="B23" s="5">
        <v>9</v>
      </c>
      <c r="C23" s="9"/>
      <c r="D23" s="5"/>
      <c r="E23" s="8"/>
      <c r="F23" s="8"/>
      <c r="G23" s="8"/>
      <c r="H23" s="6"/>
      <c r="I23" s="7"/>
      <c r="J23" s="7"/>
      <c r="K23" s="7"/>
      <c r="L23" s="7"/>
      <c r="M23" s="7"/>
      <c r="N23" s="7"/>
      <c r="O23" s="7"/>
      <c r="P23" s="7"/>
      <c r="Q23" s="7"/>
      <c r="R23" s="7"/>
      <c r="S23" s="7"/>
      <c r="T23" s="7"/>
      <c r="U23" s="7"/>
      <c r="V23" s="7"/>
      <c r="W23" s="7"/>
      <c r="X23" s="7"/>
      <c r="Y23" s="7"/>
      <c r="Z23" s="7"/>
    </row>
    <row r="24" spans="1:26" x14ac:dyDescent="0.2">
      <c r="A24" s="3"/>
      <c r="B24" s="3"/>
      <c r="C24" s="3"/>
      <c r="D24" s="3"/>
      <c r="E24" s="3"/>
      <c r="F24" s="3"/>
      <c r="H24" s="3"/>
      <c r="I24" s="3"/>
      <c r="J24" s="3"/>
      <c r="K24" s="3"/>
      <c r="L24" s="3"/>
      <c r="M24" s="3"/>
      <c r="N24" s="3"/>
      <c r="O24" s="3"/>
      <c r="P24" s="3"/>
      <c r="Q24" s="3"/>
      <c r="R24" s="3"/>
      <c r="S24" s="3"/>
      <c r="T24" s="3"/>
      <c r="U24" s="3"/>
      <c r="V24" s="3"/>
      <c r="W24" s="3"/>
      <c r="X24" s="3"/>
      <c r="Y24" s="3"/>
      <c r="Z24" s="3"/>
    </row>
    <row r="25" spans="1:26" x14ac:dyDescent="0.2">
      <c r="A25" s="3"/>
      <c r="B25" s="3"/>
      <c r="C25" s="3"/>
      <c r="D25" s="3"/>
      <c r="E25" s="3"/>
      <c r="F25" s="3"/>
      <c r="H25" s="3"/>
      <c r="I25" s="3"/>
      <c r="J25" s="3"/>
      <c r="K25" s="3"/>
      <c r="L25" s="3"/>
      <c r="M25" s="3"/>
      <c r="N25" s="3"/>
      <c r="O25" s="3"/>
      <c r="P25" s="3"/>
      <c r="Q25" s="3"/>
      <c r="R25" s="3"/>
      <c r="S25" s="3"/>
      <c r="T25" s="3"/>
      <c r="U25" s="3"/>
      <c r="V25" s="3"/>
      <c r="W25" s="3"/>
      <c r="X25" s="3"/>
      <c r="Y25" s="3"/>
      <c r="Z25" s="3"/>
    </row>
    <row r="26" spans="1:26" x14ac:dyDescent="0.2">
      <c r="A26" s="3"/>
      <c r="B26" s="3"/>
      <c r="C26" s="3"/>
      <c r="D26" s="3"/>
      <c r="E26" s="3"/>
      <c r="F26" s="3"/>
      <c r="H26" s="3"/>
      <c r="I26" s="3"/>
      <c r="J26" s="3"/>
      <c r="K26" s="3"/>
      <c r="L26" s="3"/>
      <c r="M26" s="3"/>
      <c r="N26" s="3"/>
      <c r="O26" s="3"/>
      <c r="P26" s="3"/>
      <c r="Q26" s="3"/>
      <c r="R26" s="3"/>
      <c r="S26" s="3"/>
      <c r="T26" s="3"/>
      <c r="U26" s="3"/>
      <c r="V26" s="3"/>
      <c r="W26" s="3"/>
      <c r="X26" s="3"/>
      <c r="Y26" s="3"/>
      <c r="Z26" s="3"/>
    </row>
    <row r="27" spans="1:26" ht="18.75" x14ac:dyDescent="0.2">
      <c r="A27" s="10"/>
      <c r="B27" s="3"/>
      <c r="C27" s="3"/>
      <c r="D27" s="3"/>
      <c r="E27" s="3"/>
      <c r="F27" s="3"/>
      <c r="H27" s="3"/>
      <c r="I27" s="3"/>
      <c r="J27" s="3"/>
      <c r="K27" s="3"/>
      <c r="L27" s="3"/>
      <c r="M27" s="3"/>
      <c r="N27" s="3"/>
      <c r="O27" s="3"/>
      <c r="P27" s="3"/>
      <c r="Q27" s="3"/>
      <c r="R27" s="3"/>
      <c r="S27" s="3"/>
      <c r="T27" s="3"/>
      <c r="U27" s="3"/>
      <c r="V27" s="3"/>
      <c r="W27" s="3"/>
      <c r="X27" s="3"/>
      <c r="Y27" s="3"/>
      <c r="Z27" s="3"/>
    </row>
    <row r="28" spans="1:26" ht="15.75" customHeight="1" x14ac:dyDescent="0.2">
      <c r="A28" s="3"/>
      <c r="B28" s="3"/>
      <c r="C28" s="3"/>
      <c r="D28" s="3"/>
      <c r="E28" s="3"/>
      <c r="F28" s="3"/>
      <c r="H28" s="3"/>
      <c r="I28" s="3"/>
      <c r="J28" s="3"/>
      <c r="K28" s="3"/>
      <c r="L28" s="3"/>
      <c r="M28" s="3"/>
      <c r="N28" s="3"/>
      <c r="O28" s="3"/>
      <c r="P28" s="3"/>
      <c r="Q28" s="3"/>
      <c r="R28" s="3"/>
      <c r="S28" s="3"/>
      <c r="T28" s="3"/>
      <c r="U28" s="3"/>
      <c r="V28" s="3"/>
      <c r="W28" s="3"/>
      <c r="X28" s="3"/>
      <c r="Y28" s="3"/>
      <c r="Z28" s="3"/>
    </row>
    <row r="29" spans="1:26" ht="15.75" customHeight="1" x14ac:dyDescent="0.2">
      <c r="A29" s="3"/>
      <c r="B29" s="3"/>
      <c r="C29" s="3"/>
      <c r="D29" s="3"/>
      <c r="E29" s="3"/>
      <c r="F29" s="3"/>
      <c r="H29" s="3"/>
      <c r="I29" s="3"/>
      <c r="J29" s="3"/>
      <c r="K29" s="3"/>
      <c r="L29" s="3"/>
      <c r="M29" s="3"/>
      <c r="N29" s="3"/>
      <c r="O29" s="3"/>
      <c r="P29" s="3"/>
      <c r="Q29" s="3"/>
      <c r="R29" s="3"/>
      <c r="S29" s="3"/>
      <c r="T29" s="3"/>
      <c r="U29" s="3"/>
      <c r="V29" s="3"/>
      <c r="W29" s="3"/>
      <c r="X29" s="3"/>
      <c r="Y29" s="3"/>
      <c r="Z29" s="3"/>
    </row>
    <row r="30" spans="1:26" ht="15.75" customHeight="1" x14ac:dyDescent="0.2">
      <c r="A30" s="3"/>
      <c r="B30" s="3"/>
      <c r="C30" s="3"/>
      <c r="D30" s="3"/>
      <c r="E30" s="3"/>
      <c r="F30" s="3"/>
      <c r="H30" s="3"/>
      <c r="I30" s="3"/>
      <c r="J30" s="3"/>
      <c r="K30" s="3"/>
      <c r="L30" s="3"/>
      <c r="M30" s="3"/>
      <c r="N30" s="3"/>
      <c r="O30" s="3"/>
      <c r="P30" s="3"/>
      <c r="Q30" s="3"/>
      <c r="R30" s="3"/>
      <c r="S30" s="3"/>
      <c r="T30" s="3"/>
      <c r="U30" s="3"/>
      <c r="V30" s="3"/>
      <c r="W30" s="3"/>
      <c r="X30" s="3"/>
      <c r="Y30" s="3"/>
      <c r="Z30" s="3"/>
    </row>
    <row r="31" spans="1:26" ht="15.75" customHeight="1" x14ac:dyDescent="0.2">
      <c r="A31" s="3"/>
      <c r="B31" s="3"/>
      <c r="C31" s="3"/>
      <c r="D31" s="3"/>
      <c r="E31" s="3"/>
      <c r="F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3"/>
      <c r="F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3"/>
      <c r="F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3"/>
      <c r="F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2">
      <c r="A1001" s="3"/>
      <c r="B1001" s="3"/>
      <c r="C1001" s="3"/>
      <c r="D1001" s="3"/>
      <c r="E1001" s="3"/>
      <c r="F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2">
      <c r="A1002" s="3"/>
      <c r="B1002" s="3"/>
      <c r="C1002" s="3"/>
      <c r="D1002" s="3"/>
      <c r="E1002" s="3"/>
      <c r="F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2">
      <c r="A1003" s="3"/>
      <c r="B1003" s="3"/>
      <c r="C1003" s="3"/>
      <c r="D1003" s="3"/>
      <c r="E1003" s="3"/>
      <c r="F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2">
      <c r="A1004" s="3"/>
      <c r="B1004" s="3"/>
      <c r="C1004" s="3"/>
      <c r="D1004" s="3"/>
      <c r="E1004" s="3"/>
      <c r="F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2">
      <c r="A1005" s="3"/>
      <c r="B1005" s="3"/>
      <c r="C1005" s="3"/>
      <c r="D1005" s="3"/>
      <c r="E1005" s="3"/>
      <c r="F1005" s="3"/>
      <c r="H1005" s="3"/>
      <c r="I1005" s="3"/>
      <c r="J1005" s="3"/>
      <c r="K1005" s="3"/>
      <c r="L1005" s="3"/>
      <c r="M1005" s="3"/>
      <c r="N1005" s="3"/>
      <c r="O1005" s="3"/>
      <c r="P1005" s="3"/>
      <c r="Q1005" s="3"/>
      <c r="R1005" s="3"/>
      <c r="S1005" s="3"/>
      <c r="T1005" s="3"/>
      <c r="U1005" s="3"/>
      <c r="V1005" s="3"/>
      <c r="W1005" s="3"/>
      <c r="X1005" s="3"/>
      <c r="Y1005" s="3"/>
      <c r="Z1005" s="3"/>
    </row>
    <row r="1006" spans="1:26" ht="15.75" customHeight="1" x14ac:dyDescent="0.2">
      <c r="A1006" s="3"/>
      <c r="B1006" s="3"/>
      <c r="C1006" s="3"/>
      <c r="D1006" s="3"/>
      <c r="E1006" s="3"/>
      <c r="F1006" s="3"/>
      <c r="H1006" s="3"/>
      <c r="I1006" s="3"/>
      <c r="J1006" s="3"/>
      <c r="K1006" s="3"/>
      <c r="L1006" s="3"/>
      <c r="M1006" s="3"/>
      <c r="N1006" s="3"/>
      <c r="O1006" s="3"/>
      <c r="P1006" s="3"/>
      <c r="Q1006" s="3"/>
      <c r="R1006" s="3"/>
      <c r="S1006" s="3"/>
      <c r="T1006" s="3"/>
      <c r="U1006" s="3"/>
      <c r="V1006" s="3"/>
      <c r="W1006" s="3"/>
      <c r="X1006" s="3"/>
      <c r="Y1006" s="3"/>
      <c r="Z1006" s="3"/>
    </row>
    <row r="1007" spans="1:26" ht="15.75" customHeight="1" x14ac:dyDescent="0.2">
      <c r="A1007" s="3"/>
      <c r="B1007" s="3"/>
      <c r="C1007" s="3"/>
      <c r="D1007" s="3"/>
      <c r="E1007" s="3"/>
      <c r="F1007" s="3"/>
      <c r="H1007" s="3"/>
      <c r="I1007" s="3"/>
      <c r="J1007" s="3"/>
      <c r="K1007" s="3"/>
      <c r="L1007" s="3"/>
      <c r="M1007" s="3"/>
      <c r="N1007" s="3"/>
      <c r="O1007" s="3"/>
      <c r="P1007" s="3"/>
      <c r="Q1007" s="3"/>
      <c r="R1007" s="3"/>
      <c r="S1007" s="3"/>
      <c r="T1007" s="3"/>
      <c r="U1007" s="3"/>
      <c r="V1007" s="3"/>
      <c r="W1007" s="3"/>
      <c r="X1007" s="3"/>
      <c r="Y1007" s="3"/>
      <c r="Z1007" s="3"/>
    </row>
  </sheetData>
  <mergeCells count="22">
    <mergeCell ref="C20:C22"/>
    <mergeCell ref="B20:B22"/>
    <mergeCell ref="B17:B19"/>
    <mergeCell ref="C17:C19"/>
    <mergeCell ref="A17:A19"/>
    <mergeCell ref="A20:A22"/>
    <mergeCell ref="A1:H1"/>
    <mergeCell ref="G14:G16"/>
    <mergeCell ref="G18:G19"/>
    <mergeCell ref="G20:G22"/>
    <mergeCell ref="H14:H16"/>
    <mergeCell ref="H17:H19"/>
    <mergeCell ref="H20:H22"/>
    <mergeCell ref="E14:E16"/>
    <mergeCell ref="E17:E19"/>
    <mergeCell ref="E20:E22"/>
    <mergeCell ref="F14:F16"/>
    <mergeCell ref="F17:F19"/>
    <mergeCell ref="F20:F22"/>
    <mergeCell ref="A14:A16"/>
    <mergeCell ref="C14:C16"/>
    <mergeCell ref="B14:B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9127F-9FBF-4688-AE7F-72EE3DD815F6}">
  <dimension ref="A1:N31"/>
  <sheetViews>
    <sheetView topLeftCell="E1" zoomScaleNormal="100" workbookViewId="0">
      <selection activeCell="I4" sqref="I4"/>
    </sheetView>
  </sheetViews>
  <sheetFormatPr defaultRowHeight="14.25" x14ac:dyDescent="0.2"/>
  <cols>
    <col min="4" max="4" width="33.125" customWidth="1"/>
    <col min="5" max="5" width="26.75" customWidth="1"/>
    <col min="6" max="6" width="33.375" customWidth="1"/>
    <col min="7" max="7" width="39.5" customWidth="1"/>
    <col min="12" max="12" width="35.625" customWidth="1"/>
    <col min="13" max="13" width="28.375" customWidth="1"/>
    <col min="14" max="14" width="9" customWidth="1"/>
  </cols>
  <sheetData>
    <row r="1" spans="1:14" ht="47.25" x14ac:dyDescent="0.2">
      <c r="A1" s="20" t="s">
        <v>19</v>
      </c>
      <c r="B1" s="20" t="s">
        <v>94</v>
      </c>
      <c r="C1" s="20" t="s">
        <v>95</v>
      </c>
      <c r="D1" s="20" t="s">
        <v>20</v>
      </c>
      <c r="E1" s="20" t="s">
        <v>96</v>
      </c>
      <c r="F1" s="20" t="s">
        <v>97</v>
      </c>
      <c r="G1" s="20" t="s">
        <v>98</v>
      </c>
      <c r="H1" s="21" t="s">
        <v>21</v>
      </c>
      <c r="I1" s="21" t="s">
        <v>22</v>
      </c>
      <c r="J1" s="21" t="s">
        <v>99</v>
      </c>
      <c r="K1" s="21" t="s">
        <v>100</v>
      </c>
      <c r="L1" s="21" t="s">
        <v>101</v>
      </c>
      <c r="M1" s="21" t="s">
        <v>102</v>
      </c>
      <c r="N1" s="22" t="s">
        <v>103</v>
      </c>
    </row>
    <row r="2" spans="1:14" ht="108" x14ac:dyDescent="0.2">
      <c r="A2" s="23" t="s">
        <v>104</v>
      </c>
      <c r="B2" s="23" t="s">
        <v>105</v>
      </c>
      <c r="C2" s="24">
        <v>46174</v>
      </c>
      <c r="D2" s="23" t="s">
        <v>106</v>
      </c>
      <c r="E2" s="23" t="s">
        <v>107</v>
      </c>
      <c r="F2" s="23" t="s">
        <v>108</v>
      </c>
      <c r="G2" s="23" t="s">
        <v>109</v>
      </c>
      <c r="H2" s="23">
        <v>3</v>
      </c>
      <c r="I2" s="23">
        <v>8</v>
      </c>
      <c r="J2" s="27">
        <v>24</v>
      </c>
      <c r="K2" s="27" t="s">
        <v>110</v>
      </c>
      <c r="L2" s="23" t="s">
        <v>111</v>
      </c>
      <c r="M2" s="23" t="s">
        <v>112</v>
      </c>
      <c r="N2" s="23" t="s">
        <v>113</v>
      </c>
    </row>
    <row r="3" spans="1:14" ht="120" x14ac:dyDescent="0.2">
      <c r="A3" s="23" t="s">
        <v>114</v>
      </c>
      <c r="B3" s="23" t="s">
        <v>115</v>
      </c>
      <c r="C3" s="24">
        <v>46174</v>
      </c>
      <c r="D3" s="23" t="s">
        <v>116</v>
      </c>
      <c r="E3" s="23" t="s">
        <v>117</v>
      </c>
      <c r="F3" s="23" t="s">
        <v>118</v>
      </c>
      <c r="G3" s="23" t="s">
        <v>119</v>
      </c>
      <c r="H3" s="23">
        <v>5</v>
      </c>
      <c r="I3" s="23">
        <v>6</v>
      </c>
      <c r="J3" s="27">
        <v>24</v>
      </c>
      <c r="K3" s="27" t="s">
        <v>110</v>
      </c>
      <c r="L3" s="23" t="s">
        <v>120</v>
      </c>
      <c r="M3" s="23" t="s">
        <v>121</v>
      </c>
      <c r="N3" s="23" t="s">
        <v>113</v>
      </c>
    </row>
    <row r="4" spans="1:14" ht="120" x14ac:dyDescent="0.2">
      <c r="A4" s="25" t="s">
        <v>122</v>
      </c>
      <c r="B4" s="25" t="s">
        <v>123</v>
      </c>
      <c r="C4" s="26">
        <v>46174</v>
      </c>
      <c r="D4" s="25" t="s">
        <v>124</v>
      </c>
      <c r="E4" s="25" t="s">
        <v>125</v>
      </c>
      <c r="F4" s="25" t="s">
        <v>126</v>
      </c>
      <c r="G4" s="25" t="s">
        <v>127</v>
      </c>
      <c r="H4" s="25">
        <v>5</v>
      </c>
      <c r="I4" s="25">
        <v>4</v>
      </c>
      <c r="J4" s="27">
        <v>16</v>
      </c>
      <c r="K4" s="27" t="s">
        <v>110</v>
      </c>
      <c r="L4" s="25" t="s">
        <v>128</v>
      </c>
      <c r="M4" s="25" t="s">
        <v>129</v>
      </c>
      <c r="N4" s="25" t="s">
        <v>113</v>
      </c>
    </row>
    <row r="5" spans="1:14" ht="132" x14ac:dyDescent="0.2">
      <c r="A5" s="25" t="s">
        <v>130</v>
      </c>
      <c r="B5" s="25" t="s">
        <v>23</v>
      </c>
      <c r="C5" s="26">
        <v>46181</v>
      </c>
      <c r="D5" s="25" t="s">
        <v>144</v>
      </c>
      <c r="E5" s="25" t="s">
        <v>145</v>
      </c>
      <c r="F5" s="25" t="s">
        <v>146</v>
      </c>
      <c r="G5" s="25" t="s">
        <v>147</v>
      </c>
      <c r="H5" s="25">
        <v>5</v>
      </c>
      <c r="I5" s="25">
        <v>8</v>
      </c>
      <c r="J5" s="27">
        <f>H5*I5</f>
        <v>40</v>
      </c>
      <c r="K5" s="27" t="s">
        <v>110</v>
      </c>
      <c r="L5" s="25" t="s">
        <v>148</v>
      </c>
      <c r="M5" s="25" t="s">
        <v>149</v>
      </c>
      <c r="N5" s="25" t="s">
        <v>113</v>
      </c>
    </row>
    <row r="6" spans="1:14" ht="96" x14ac:dyDescent="0.2">
      <c r="A6" s="25" t="s">
        <v>131</v>
      </c>
      <c r="B6" s="25" t="s">
        <v>150</v>
      </c>
      <c r="C6" s="26">
        <v>46181</v>
      </c>
      <c r="D6" s="25" t="s">
        <v>151</v>
      </c>
      <c r="E6" s="25" t="s">
        <v>152</v>
      </c>
      <c r="F6" s="25" t="s">
        <v>153</v>
      </c>
      <c r="G6" s="25" t="s">
        <v>154</v>
      </c>
      <c r="H6" s="25">
        <v>7</v>
      </c>
      <c r="I6" s="25">
        <v>2</v>
      </c>
      <c r="J6" s="27">
        <f t="shared" ref="J6:J31" si="0">H6*I6</f>
        <v>14</v>
      </c>
      <c r="K6" s="27" t="s">
        <v>155</v>
      </c>
      <c r="L6" s="25" t="s">
        <v>156</v>
      </c>
      <c r="M6" s="25" t="s">
        <v>157</v>
      </c>
      <c r="N6" s="25" t="s">
        <v>113</v>
      </c>
    </row>
    <row r="7" spans="1:14" ht="108" x14ac:dyDescent="0.2">
      <c r="A7" s="25" t="s">
        <v>132</v>
      </c>
      <c r="B7" s="25" t="s">
        <v>158</v>
      </c>
      <c r="C7" s="26">
        <v>46181</v>
      </c>
      <c r="D7" s="25" t="s">
        <v>159</v>
      </c>
      <c r="E7" s="25" t="s">
        <v>160</v>
      </c>
      <c r="F7" s="25" t="s">
        <v>161</v>
      </c>
      <c r="G7" s="25" t="s">
        <v>162</v>
      </c>
      <c r="H7" s="25">
        <v>5</v>
      </c>
      <c r="I7" s="25">
        <v>6</v>
      </c>
      <c r="J7" s="27">
        <f t="shared" si="0"/>
        <v>30</v>
      </c>
      <c r="K7" s="27" t="s">
        <v>110</v>
      </c>
      <c r="L7" s="25" t="s">
        <v>163</v>
      </c>
      <c r="M7" s="25" t="s">
        <v>164</v>
      </c>
      <c r="N7" s="25" t="s">
        <v>113</v>
      </c>
    </row>
    <row r="8" spans="1:14" ht="96" x14ac:dyDescent="0.2">
      <c r="A8" s="25" t="s">
        <v>133</v>
      </c>
      <c r="B8" s="25" t="s">
        <v>165</v>
      </c>
      <c r="C8" s="26">
        <v>46181</v>
      </c>
      <c r="D8" s="25" t="s">
        <v>166</v>
      </c>
      <c r="E8" s="25" t="s">
        <v>167</v>
      </c>
      <c r="F8" s="25" t="s">
        <v>168</v>
      </c>
      <c r="G8" s="25" t="s">
        <v>169</v>
      </c>
      <c r="H8" s="25">
        <v>7</v>
      </c>
      <c r="I8" s="25">
        <v>4</v>
      </c>
      <c r="J8" s="27">
        <f t="shared" si="0"/>
        <v>28</v>
      </c>
      <c r="K8" s="27" t="s">
        <v>155</v>
      </c>
      <c r="L8" s="25" t="s">
        <v>170</v>
      </c>
      <c r="M8" s="25" t="s">
        <v>171</v>
      </c>
      <c r="N8" s="25" t="s">
        <v>113</v>
      </c>
    </row>
    <row r="9" spans="1:14" ht="108" x14ac:dyDescent="0.2">
      <c r="A9" s="25" t="s">
        <v>134</v>
      </c>
      <c r="B9" s="25" t="s">
        <v>172</v>
      </c>
      <c r="C9" s="26">
        <v>46181</v>
      </c>
      <c r="D9" s="25" t="s">
        <v>173</v>
      </c>
      <c r="E9" s="25" t="s">
        <v>174</v>
      </c>
      <c r="F9" s="25" t="s">
        <v>175</v>
      </c>
      <c r="G9" s="25" t="s">
        <v>176</v>
      </c>
      <c r="H9" s="25">
        <v>5</v>
      </c>
      <c r="I9" s="25">
        <v>1</v>
      </c>
      <c r="J9" s="27">
        <f t="shared" si="0"/>
        <v>5</v>
      </c>
      <c r="K9" s="27" t="s">
        <v>177</v>
      </c>
      <c r="L9" s="25" t="s">
        <v>178</v>
      </c>
      <c r="M9" s="25" t="s">
        <v>179</v>
      </c>
      <c r="N9" s="25" t="s">
        <v>113</v>
      </c>
    </row>
    <row r="10" spans="1:14" ht="108" x14ac:dyDescent="0.2">
      <c r="A10" s="25" t="s">
        <v>135</v>
      </c>
      <c r="B10" s="25" t="s">
        <v>180</v>
      </c>
      <c r="C10" s="26">
        <v>46181</v>
      </c>
      <c r="D10" s="25" t="s">
        <v>181</v>
      </c>
      <c r="E10" s="25" t="s">
        <v>182</v>
      </c>
      <c r="F10" s="25" t="s">
        <v>183</v>
      </c>
      <c r="G10" s="25" t="s">
        <v>184</v>
      </c>
      <c r="H10" s="25">
        <v>7</v>
      </c>
      <c r="I10" s="25">
        <v>8</v>
      </c>
      <c r="J10" s="27">
        <f t="shared" si="0"/>
        <v>56</v>
      </c>
      <c r="K10" s="27" t="s">
        <v>110</v>
      </c>
      <c r="L10" s="25" t="s">
        <v>185</v>
      </c>
      <c r="M10" s="25" t="s">
        <v>186</v>
      </c>
      <c r="N10" s="25" t="s">
        <v>113</v>
      </c>
    </row>
    <row r="11" spans="1:14" ht="96" x14ac:dyDescent="0.2">
      <c r="A11" s="25" t="s">
        <v>136</v>
      </c>
      <c r="B11" s="25" t="s">
        <v>187</v>
      </c>
      <c r="C11" s="26">
        <v>46181</v>
      </c>
      <c r="D11" s="25" t="s">
        <v>188</v>
      </c>
      <c r="E11" s="25" t="s">
        <v>189</v>
      </c>
      <c r="F11" s="25" t="s">
        <v>190</v>
      </c>
      <c r="G11" s="25" t="s">
        <v>191</v>
      </c>
      <c r="H11" s="25">
        <v>7</v>
      </c>
      <c r="I11" s="25">
        <v>8</v>
      </c>
      <c r="J11" s="27">
        <f t="shared" si="0"/>
        <v>56</v>
      </c>
      <c r="K11" s="27" t="s">
        <v>110</v>
      </c>
      <c r="L11" s="25" t="s">
        <v>192</v>
      </c>
      <c r="M11" s="25" t="s">
        <v>193</v>
      </c>
      <c r="N11" s="25" t="s">
        <v>113</v>
      </c>
    </row>
    <row r="12" spans="1:14" ht="72" x14ac:dyDescent="0.2">
      <c r="A12" s="25" t="s">
        <v>137</v>
      </c>
      <c r="B12" s="25" t="s">
        <v>194</v>
      </c>
      <c r="C12" s="26">
        <v>46181</v>
      </c>
      <c r="D12" s="25" t="s">
        <v>195</v>
      </c>
      <c r="E12" s="25" t="s">
        <v>196</v>
      </c>
      <c r="F12" s="25" t="s">
        <v>197</v>
      </c>
      <c r="G12" s="25" t="s">
        <v>198</v>
      </c>
      <c r="H12" s="25">
        <v>5</v>
      </c>
      <c r="I12" s="25">
        <v>6</v>
      </c>
      <c r="J12" s="27">
        <f t="shared" si="0"/>
        <v>30</v>
      </c>
      <c r="K12" s="27" t="s">
        <v>155</v>
      </c>
      <c r="L12" s="25" t="s">
        <v>199</v>
      </c>
      <c r="M12" s="25" t="s">
        <v>200</v>
      </c>
      <c r="N12" s="25" t="s">
        <v>113</v>
      </c>
    </row>
    <row r="13" spans="1:14" ht="72" x14ac:dyDescent="0.2">
      <c r="A13" s="25" t="s">
        <v>138</v>
      </c>
      <c r="B13" s="25" t="s">
        <v>201</v>
      </c>
      <c r="C13" s="26">
        <v>46181</v>
      </c>
      <c r="D13" s="25" t="s">
        <v>202</v>
      </c>
      <c r="E13" s="25" t="s">
        <v>203</v>
      </c>
      <c r="F13" s="25" t="s">
        <v>204</v>
      </c>
      <c r="G13" s="25" t="s">
        <v>205</v>
      </c>
      <c r="H13" s="25">
        <v>5</v>
      </c>
      <c r="I13" s="25">
        <v>6</v>
      </c>
      <c r="J13" s="27">
        <f t="shared" si="0"/>
        <v>30</v>
      </c>
      <c r="K13" s="27" t="s">
        <v>155</v>
      </c>
      <c r="L13" s="25" t="s">
        <v>206</v>
      </c>
      <c r="M13" s="25" t="s">
        <v>207</v>
      </c>
      <c r="N13" s="25" t="s">
        <v>113</v>
      </c>
    </row>
    <row r="14" spans="1:14" ht="84" x14ac:dyDescent="0.2">
      <c r="A14" s="25" t="s">
        <v>139</v>
      </c>
      <c r="B14" s="25" t="s">
        <v>30</v>
      </c>
      <c r="C14" s="26">
        <v>46181</v>
      </c>
      <c r="D14" s="25" t="s">
        <v>221</v>
      </c>
      <c r="E14" s="25" t="s">
        <v>222</v>
      </c>
      <c r="F14" s="25" t="s">
        <v>223</v>
      </c>
      <c r="G14" s="25" t="s">
        <v>224</v>
      </c>
      <c r="H14" s="25">
        <v>7</v>
      </c>
      <c r="I14" s="25">
        <v>8</v>
      </c>
      <c r="J14" s="27">
        <f t="shared" si="0"/>
        <v>56</v>
      </c>
      <c r="K14" s="27" t="s">
        <v>110</v>
      </c>
      <c r="L14" s="25" t="s">
        <v>225</v>
      </c>
      <c r="M14" s="25" t="s">
        <v>226</v>
      </c>
      <c r="N14" s="25" t="s">
        <v>113</v>
      </c>
    </row>
    <row r="15" spans="1:14" ht="108" x14ac:dyDescent="0.2">
      <c r="A15" s="25" t="s">
        <v>140</v>
      </c>
      <c r="B15" s="25" t="s">
        <v>227</v>
      </c>
      <c r="C15" s="26">
        <v>46181</v>
      </c>
      <c r="D15" s="25" t="s">
        <v>228</v>
      </c>
      <c r="E15" s="25" t="s">
        <v>229</v>
      </c>
      <c r="F15" s="25" t="s">
        <v>230</v>
      </c>
      <c r="G15" s="25" t="s">
        <v>231</v>
      </c>
      <c r="H15" s="25">
        <v>5</v>
      </c>
      <c r="I15" s="25">
        <v>4</v>
      </c>
      <c r="J15" s="27">
        <f t="shared" si="0"/>
        <v>20</v>
      </c>
      <c r="K15" s="27" t="s">
        <v>155</v>
      </c>
      <c r="L15" s="25" t="s">
        <v>232</v>
      </c>
      <c r="M15" s="25" t="s">
        <v>233</v>
      </c>
      <c r="N15" s="25" t="s">
        <v>113</v>
      </c>
    </row>
    <row r="16" spans="1:14" ht="84" x14ac:dyDescent="0.2">
      <c r="A16" s="25" t="s">
        <v>141</v>
      </c>
      <c r="B16" s="25" t="s">
        <v>234</v>
      </c>
      <c r="C16" s="26">
        <v>46181</v>
      </c>
      <c r="D16" s="25" t="s">
        <v>235</v>
      </c>
      <c r="E16" s="25" t="s">
        <v>236</v>
      </c>
      <c r="F16" s="25" t="s">
        <v>237</v>
      </c>
      <c r="G16" s="25" t="s">
        <v>238</v>
      </c>
      <c r="H16" s="25">
        <v>7</v>
      </c>
      <c r="I16" s="25">
        <v>2</v>
      </c>
      <c r="J16" s="27">
        <f t="shared" si="0"/>
        <v>14</v>
      </c>
      <c r="K16" s="27" t="s">
        <v>155</v>
      </c>
      <c r="L16" s="25" t="s">
        <v>239</v>
      </c>
      <c r="M16" s="25" t="s">
        <v>240</v>
      </c>
      <c r="N16" s="25" t="s">
        <v>113</v>
      </c>
    </row>
    <row r="17" spans="1:14" ht="84" x14ac:dyDescent="0.2">
      <c r="A17" s="25" t="s">
        <v>142</v>
      </c>
      <c r="B17" s="25" t="s">
        <v>31</v>
      </c>
      <c r="C17" s="26">
        <v>46181</v>
      </c>
      <c r="D17" s="25" t="s">
        <v>241</v>
      </c>
      <c r="E17" s="25" t="s">
        <v>242</v>
      </c>
      <c r="F17" s="25" t="s">
        <v>243</v>
      </c>
      <c r="G17" s="25" t="s">
        <v>244</v>
      </c>
      <c r="H17" s="25">
        <v>7</v>
      </c>
      <c r="I17" s="25">
        <v>4</v>
      </c>
      <c r="J17" s="27">
        <f t="shared" si="0"/>
        <v>28</v>
      </c>
      <c r="K17" s="27" t="s">
        <v>155</v>
      </c>
      <c r="L17" s="25" t="s">
        <v>245</v>
      </c>
      <c r="M17" s="25" t="s">
        <v>246</v>
      </c>
      <c r="N17" s="25" t="s">
        <v>113</v>
      </c>
    </row>
    <row r="18" spans="1:14" ht="96" x14ac:dyDescent="0.2">
      <c r="A18" s="25" t="s">
        <v>143</v>
      </c>
      <c r="B18" s="25" t="s">
        <v>247</v>
      </c>
      <c r="C18" s="26">
        <v>46181</v>
      </c>
      <c r="D18" s="25" t="s">
        <v>248</v>
      </c>
      <c r="E18" s="25" t="s">
        <v>249</v>
      </c>
      <c r="F18" s="25" t="s">
        <v>250</v>
      </c>
      <c r="G18" s="25" t="s">
        <v>251</v>
      </c>
      <c r="H18" s="25">
        <v>5</v>
      </c>
      <c r="I18" s="25">
        <v>4</v>
      </c>
      <c r="J18" s="27">
        <f t="shared" si="0"/>
        <v>20</v>
      </c>
      <c r="K18" s="27" t="s">
        <v>155</v>
      </c>
      <c r="L18" s="25" t="s">
        <v>252</v>
      </c>
      <c r="M18" s="25" t="s">
        <v>253</v>
      </c>
      <c r="N18" s="25" t="s">
        <v>113</v>
      </c>
    </row>
    <row r="19" spans="1:14" ht="96" x14ac:dyDescent="0.2">
      <c r="A19" s="25" t="s">
        <v>208</v>
      </c>
      <c r="B19" s="25" t="s">
        <v>254</v>
      </c>
      <c r="C19" s="26">
        <v>46181</v>
      </c>
      <c r="D19" s="25" t="s">
        <v>255</v>
      </c>
      <c r="E19" s="25" t="s">
        <v>256</v>
      </c>
      <c r="F19" s="25" t="s">
        <v>257</v>
      </c>
      <c r="G19" s="25" t="s">
        <v>258</v>
      </c>
      <c r="H19" s="25">
        <v>5</v>
      </c>
      <c r="I19" s="25">
        <v>6</v>
      </c>
      <c r="J19" s="27">
        <f t="shared" si="0"/>
        <v>30</v>
      </c>
      <c r="K19" s="27" t="s">
        <v>155</v>
      </c>
      <c r="L19" s="25" t="s">
        <v>259</v>
      </c>
      <c r="M19" s="25" t="s">
        <v>260</v>
      </c>
      <c r="N19" s="25" t="s">
        <v>113</v>
      </c>
    </row>
    <row r="20" spans="1:14" ht="120" x14ac:dyDescent="0.2">
      <c r="A20" s="25" t="s">
        <v>209</v>
      </c>
      <c r="B20" s="25" t="s">
        <v>32</v>
      </c>
      <c r="C20" s="26">
        <v>46181</v>
      </c>
      <c r="D20" s="25" t="s">
        <v>261</v>
      </c>
      <c r="E20" s="25" t="s">
        <v>262</v>
      </c>
      <c r="F20" s="25" t="s">
        <v>263</v>
      </c>
      <c r="G20" s="25" t="s">
        <v>264</v>
      </c>
      <c r="H20" s="25">
        <v>5</v>
      </c>
      <c r="I20" s="25">
        <v>6</v>
      </c>
      <c r="J20" s="27">
        <f t="shared" si="0"/>
        <v>30</v>
      </c>
      <c r="K20" s="27" t="s">
        <v>110</v>
      </c>
      <c r="L20" s="25" t="s">
        <v>265</v>
      </c>
      <c r="M20" s="25" t="s">
        <v>266</v>
      </c>
      <c r="N20" s="25" t="s">
        <v>113</v>
      </c>
    </row>
    <row r="21" spans="1:14" ht="96" x14ac:dyDescent="0.2">
      <c r="A21" s="25" t="s">
        <v>210</v>
      </c>
      <c r="B21" s="25" t="s">
        <v>267</v>
      </c>
      <c r="C21" s="26">
        <v>46181</v>
      </c>
      <c r="D21" s="25" t="s">
        <v>268</v>
      </c>
      <c r="E21" s="25" t="s">
        <v>269</v>
      </c>
      <c r="F21" s="25" t="s">
        <v>270</v>
      </c>
      <c r="G21" s="25" t="s">
        <v>271</v>
      </c>
      <c r="H21" s="25">
        <v>5</v>
      </c>
      <c r="I21" s="25">
        <v>4</v>
      </c>
      <c r="J21" s="27">
        <f t="shared" si="0"/>
        <v>20</v>
      </c>
      <c r="K21" s="27" t="s">
        <v>155</v>
      </c>
      <c r="L21" s="25" t="s">
        <v>272</v>
      </c>
      <c r="M21" s="25" t="s">
        <v>273</v>
      </c>
      <c r="N21" s="25" t="s">
        <v>113</v>
      </c>
    </row>
    <row r="22" spans="1:14" ht="84" x14ac:dyDescent="0.2">
      <c r="A22" s="25" t="s">
        <v>211</v>
      </c>
      <c r="B22" s="25" t="s">
        <v>274</v>
      </c>
      <c r="C22" s="26">
        <v>46181</v>
      </c>
      <c r="D22" s="25" t="s">
        <v>275</v>
      </c>
      <c r="E22" s="25" t="s">
        <v>276</v>
      </c>
      <c r="F22" s="25" t="s">
        <v>277</v>
      </c>
      <c r="G22" s="25" t="s">
        <v>278</v>
      </c>
      <c r="H22" s="25">
        <v>7</v>
      </c>
      <c r="I22" s="25">
        <v>2</v>
      </c>
      <c r="J22" s="27">
        <f t="shared" si="0"/>
        <v>14</v>
      </c>
      <c r="K22" s="27" t="s">
        <v>155</v>
      </c>
      <c r="L22" s="25" t="s">
        <v>279</v>
      </c>
      <c r="M22" s="25" t="s">
        <v>280</v>
      </c>
      <c r="N22" s="25" t="s">
        <v>113</v>
      </c>
    </row>
    <row r="23" spans="1:14" ht="96" x14ac:dyDescent="0.2">
      <c r="A23" s="25" t="s">
        <v>212</v>
      </c>
      <c r="B23" s="25" t="s">
        <v>281</v>
      </c>
      <c r="C23" s="26">
        <v>46181</v>
      </c>
      <c r="D23" s="25" t="s">
        <v>282</v>
      </c>
      <c r="E23" s="25" t="s">
        <v>283</v>
      </c>
      <c r="F23" s="25" t="s">
        <v>284</v>
      </c>
      <c r="G23" s="25" t="s">
        <v>285</v>
      </c>
      <c r="H23" s="25">
        <v>3</v>
      </c>
      <c r="I23" s="25">
        <v>8</v>
      </c>
      <c r="J23" s="27">
        <f t="shared" si="0"/>
        <v>24</v>
      </c>
      <c r="K23" s="27" t="s">
        <v>110</v>
      </c>
      <c r="L23" s="25" t="s">
        <v>286</v>
      </c>
      <c r="M23" s="25" t="s">
        <v>287</v>
      </c>
      <c r="N23" s="25" t="s">
        <v>113</v>
      </c>
    </row>
    <row r="24" spans="1:14" ht="96" x14ac:dyDescent="0.2">
      <c r="A24" s="25" t="s">
        <v>213</v>
      </c>
      <c r="B24" s="25" t="s">
        <v>288</v>
      </c>
      <c r="C24" s="26">
        <v>46181</v>
      </c>
      <c r="D24" s="25" t="s">
        <v>289</v>
      </c>
      <c r="E24" s="25" t="s">
        <v>290</v>
      </c>
      <c r="F24" s="25" t="s">
        <v>291</v>
      </c>
      <c r="G24" s="25" t="s">
        <v>292</v>
      </c>
      <c r="H24" s="25">
        <v>5</v>
      </c>
      <c r="I24" s="25">
        <v>4</v>
      </c>
      <c r="J24" s="27">
        <f t="shared" si="0"/>
        <v>20</v>
      </c>
      <c r="K24" s="27" t="s">
        <v>155</v>
      </c>
      <c r="L24" s="25" t="s">
        <v>293</v>
      </c>
      <c r="M24" s="25" t="s">
        <v>294</v>
      </c>
      <c r="N24" s="25" t="s">
        <v>113</v>
      </c>
    </row>
    <row r="25" spans="1:14" ht="84" x14ac:dyDescent="0.2">
      <c r="A25" s="25" t="s">
        <v>214</v>
      </c>
      <c r="B25" s="25" t="s">
        <v>295</v>
      </c>
      <c r="C25" s="26">
        <v>46181</v>
      </c>
      <c r="D25" s="25" t="s">
        <v>296</v>
      </c>
      <c r="E25" s="25" t="s">
        <v>297</v>
      </c>
      <c r="F25" s="25" t="s">
        <v>298</v>
      </c>
      <c r="G25" s="25" t="s">
        <v>299</v>
      </c>
      <c r="H25" s="25">
        <v>7</v>
      </c>
      <c r="I25" s="25">
        <v>2</v>
      </c>
      <c r="J25" s="27">
        <f t="shared" si="0"/>
        <v>14</v>
      </c>
      <c r="K25" s="27" t="s">
        <v>155</v>
      </c>
      <c r="L25" s="25" t="s">
        <v>300</v>
      </c>
      <c r="M25" s="25" t="s">
        <v>301</v>
      </c>
      <c r="N25" s="25" t="s">
        <v>113</v>
      </c>
    </row>
    <row r="26" spans="1:14" ht="96" x14ac:dyDescent="0.2">
      <c r="A26" s="25" t="s">
        <v>215</v>
      </c>
      <c r="B26" s="25" t="s">
        <v>34</v>
      </c>
      <c r="C26" s="26">
        <v>46181</v>
      </c>
      <c r="D26" s="25" t="s">
        <v>302</v>
      </c>
      <c r="E26" s="25" t="s">
        <v>303</v>
      </c>
      <c r="F26" s="25" t="s">
        <v>304</v>
      </c>
      <c r="G26" s="25" t="s">
        <v>305</v>
      </c>
      <c r="H26" s="25">
        <v>5</v>
      </c>
      <c r="I26" s="25">
        <v>8</v>
      </c>
      <c r="J26" s="27">
        <f t="shared" si="0"/>
        <v>40</v>
      </c>
      <c r="K26" s="27" t="s">
        <v>110</v>
      </c>
      <c r="L26" s="25" t="s">
        <v>306</v>
      </c>
      <c r="M26" s="25" t="s">
        <v>307</v>
      </c>
      <c r="N26" s="25" t="s">
        <v>113</v>
      </c>
    </row>
    <row r="27" spans="1:14" ht="84" x14ac:dyDescent="0.2">
      <c r="A27" s="25" t="s">
        <v>216</v>
      </c>
      <c r="B27" s="25" t="s">
        <v>308</v>
      </c>
      <c r="C27" s="26">
        <v>46181</v>
      </c>
      <c r="D27" s="25" t="s">
        <v>309</v>
      </c>
      <c r="E27" s="25" t="s">
        <v>310</v>
      </c>
      <c r="F27" s="25" t="s">
        <v>311</v>
      </c>
      <c r="G27" s="25" t="s">
        <v>312</v>
      </c>
      <c r="H27" s="25">
        <v>7</v>
      </c>
      <c r="I27" s="25">
        <v>6</v>
      </c>
      <c r="J27" s="27">
        <f t="shared" si="0"/>
        <v>42</v>
      </c>
      <c r="K27" s="27" t="s">
        <v>110</v>
      </c>
      <c r="L27" s="25" t="s">
        <v>313</v>
      </c>
      <c r="M27" s="25" t="s">
        <v>314</v>
      </c>
      <c r="N27" s="25" t="s">
        <v>113</v>
      </c>
    </row>
    <row r="28" spans="1:14" ht="96" x14ac:dyDescent="0.2">
      <c r="A28" s="25" t="s">
        <v>217</v>
      </c>
      <c r="B28" s="25" t="s">
        <v>315</v>
      </c>
      <c r="C28" s="26">
        <v>46181</v>
      </c>
      <c r="D28" s="25" t="s">
        <v>316</v>
      </c>
      <c r="E28" s="25" t="s">
        <v>317</v>
      </c>
      <c r="F28" s="25" t="s">
        <v>318</v>
      </c>
      <c r="G28" s="25" t="s">
        <v>319</v>
      </c>
      <c r="H28" s="25">
        <v>7</v>
      </c>
      <c r="I28" s="25">
        <v>6</v>
      </c>
      <c r="J28" s="27">
        <f t="shared" si="0"/>
        <v>42</v>
      </c>
      <c r="K28" s="27" t="s">
        <v>110</v>
      </c>
      <c r="L28" s="25" t="s">
        <v>320</v>
      </c>
      <c r="M28" s="25" t="s">
        <v>321</v>
      </c>
      <c r="N28" s="25" t="s">
        <v>113</v>
      </c>
    </row>
    <row r="29" spans="1:14" ht="108" x14ac:dyDescent="0.2">
      <c r="A29" s="25" t="s">
        <v>218</v>
      </c>
      <c r="B29" s="25" t="s">
        <v>35</v>
      </c>
      <c r="C29" s="26">
        <v>46181</v>
      </c>
      <c r="D29" s="25" t="s">
        <v>322</v>
      </c>
      <c r="E29" s="25" t="s">
        <v>323</v>
      </c>
      <c r="F29" s="25" t="s">
        <v>324</v>
      </c>
      <c r="G29" s="25" t="s">
        <v>325</v>
      </c>
      <c r="H29" s="25">
        <v>5</v>
      </c>
      <c r="I29" s="25">
        <v>8</v>
      </c>
      <c r="J29" s="27">
        <f t="shared" si="0"/>
        <v>40</v>
      </c>
      <c r="K29" s="27" t="s">
        <v>110</v>
      </c>
      <c r="L29" s="25" t="s">
        <v>326</v>
      </c>
      <c r="M29" s="25" t="s">
        <v>327</v>
      </c>
      <c r="N29" s="25" t="s">
        <v>113</v>
      </c>
    </row>
    <row r="30" spans="1:14" ht="96" x14ac:dyDescent="0.2">
      <c r="A30" s="25" t="s">
        <v>219</v>
      </c>
      <c r="B30" s="25" t="s">
        <v>36</v>
      </c>
      <c r="C30" s="26">
        <v>46181</v>
      </c>
      <c r="D30" s="25" t="s">
        <v>328</v>
      </c>
      <c r="E30" s="25" t="s">
        <v>329</v>
      </c>
      <c r="F30" s="25" t="s">
        <v>330</v>
      </c>
      <c r="G30" s="25" t="s">
        <v>331</v>
      </c>
      <c r="H30" s="25">
        <v>5</v>
      </c>
      <c r="I30" s="25">
        <v>6</v>
      </c>
      <c r="J30" s="27">
        <f t="shared" si="0"/>
        <v>30</v>
      </c>
      <c r="K30" s="27" t="s">
        <v>155</v>
      </c>
      <c r="L30" s="25" t="s">
        <v>332</v>
      </c>
      <c r="M30" s="25" t="s">
        <v>333</v>
      </c>
      <c r="N30" s="25" t="s">
        <v>113</v>
      </c>
    </row>
    <row r="31" spans="1:14" ht="96" x14ac:dyDescent="0.2">
      <c r="A31" s="25" t="s">
        <v>220</v>
      </c>
      <c r="B31" s="25" t="s">
        <v>334</v>
      </c>
      <c r="C31" s="26">
        <v>46181</v>
      </c>
      <c r="D31" s="25" t="s">
        <v>335</v>
      </c>
      <c r="E31" s="25" t="s">
        <v>336</v>
      </c>
      <c r="F31" s="25" t="s">
        <v>337</v>
      </c>
      <c r="G31" s="25" t="s">
        <v>338</v>
      </c>
      <c r="H31" s="25">
        <v>3</v>
      </c>
      <c r="I31" s="25">
        <v>4</v>
      </c>
      <c r="J31" s="27">
        <f t="shared" si="0"/>
        <v>12</v>
      </c>
      <c r="K31" s="27" t="s">
        <v>177</v>
      </c>
      <c r="L31" s="25" t="s">
        <v>339</v>
      </c>
      <c r="M31" s="25" t="s">
        <v>340</v>
      </c>
      <c r="N31" s="25" t="s">
        <v>113</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CA1D-EA6A-4022-8E1F-13997B16BC24}">
  <dimension ref="A1:M32"/>
  <sheetViews>
    <sheetView zoomScaleNormal="100" workbookViewId="0">
      <selection activeCell="H30" sqref="H30"/>
    </sheetView>
  </sheetViews>
  <sheetFormatPr defaultRowHeight="14.25" x14ac:dyDescent="0.2"/>
  <cols>
    <col min="1" max="1" width="8.625" style="19" customWidth="1"/>
    <col min="2" max="2" width="49.75" customWidth="1"/>
    <col min="3" max="3" width="14.625" customWidth="1"/>
    <col min="4" max="4" width="11.5" customWidth="1"/>
    <col min="5" max="5" width="12.625" style="19" customWidth="1"/>
    <col min="6" max="6" width="14.125" customWidth="1"/>
    <col min="8" max="8" width="16.5" customWidth="1"/>
    <col min="10" max="10" width="9" customWidth="1"/>
  </cols>
  <sheetData>
    <row r="1" spans="1:13" ht="15" x14ac:dyDescent="0.25">
      <c r="A1" s="28" t="s">
        <v>19</v>
      </c>
      <c r="B1" s="17" t="s">
        <v>20</v>
      </c>
      <c r="C1" s="17" t="s">
        <v>21</v>
      </c>
      <c r="D1" s="17" t="s">
        <v>22</v>
      </c>
      <c r="E1" s="30" t="s">
        <v>99</v>
      </c>
      <c r="F1" s="30" t="s">
        <v>341</v>
      </c>
      <c r="H1" s="11" t="s">
        <v>342</v>
      </c>
      <c r="I1">
        <v>1</v>
      </c>
      <c r="J1">
        <v>3</v>
      </c>
      <c r="K1">
        <v>5</v>
      </c>
      <c r="L1">
        <v>7</v>
      </c>
      <c r="M1">
        <v>9</v>
      </c>
    </row>
    <row r="2" spans="1:13" ht="15" x14ac:dyDescent="0.25">
      <c r="A2" s="44" t="s">
        <v>349</v>
      </c>
      <c r="B2" s="32" t="s">
        <v>105</v>
      </c>
      <c r="C2" s="34">
        <v>3</v>
      </c>
      <c r="D2" s="34">
        <v>8</v>
      </c>
      <c r="E2" s="31">
        <f>C2*D2</f>
        <v>24</v>
      </c>
      <c r="F2" s="31" t="str">
        <f>IF(E2&gt;=40,"H",IF(E2&gt;=15,"M","L"))</f>
        <v>M</v>
      </c>
      <c r="H2">
        <v>9</v>
      </c>
      <c r="I2">
        <f>I$1*$H2</f>
        <v>9</v>
      </c>
      <c r="J2">
        <f t="shared" ref="J2:M7" si="0">J$1*$H2</f>
        <v>27</v>
      </c>
      <c r="K2">
        <f t="shared" si="0"/>
        <v>45</v>
      </c>
      <c r="L2">
        <f t="shared" si="0"/>
        <v>63</v>
      </c>
      <c r="M2">
        <f t="shared" si="0"/>
        <v>81</v>
      </c>
    </row>
    <row r="3" spans="1:13" ht="15" x14ac:dyDescent="0.25">
      <c r="A3" s="44" t="s">
        <v>350</v>
      </c>
      <c r="B3" s="32" t="s">
        <v>115</v>
      </c>
      <c r="C3" s="34">
        <v>5</v>
      </c>
      <c r="D3" s="34">
        <v>6</v>
      </c>
      <c r="E3" s="31">
        <f t="shared" ref="E3:E31" si="1">C3*D3</f>
        <v>30</v>
      </c>
      <c r="F3" s="31" t="str">
        <f t="shared" ref="F3:F31" si="2">IF(E3&gt;=40,"H",IF(E3&gt;=15,"M","L"))</f>
        <v>M</v>
      </c>
      <c r="H3">
        <v>8</v>
      </c>
      <c r="I3">
        <f t="shared" ref="I3:I7" si="3">I$1*$H3</f>
        <v>8</v>
      </c>
      <c r="J3">
        <f t="shared" si="0"/>
        <v>24</v>
      </c>
      <c r="K3">
        <f t="shared" si="0"/>
        <v>40</v>
      </c>
      <c r="L3">
        <f t="shared" si="0"/>
        <v>56</v>
      </c>
      <c r="M3">
        <f t="shared" si="0"/>
        <v>72</v>
      </c>
    </row>
    <row r="4" spans="1:13" ht="15" x14ac:dyDescent="0.25">
      <c r="A4" s="44" t="s">
        <v>351</v>
      </c>
      <c r="B4" s="33" t="s">
        <v>123</v>
      </c>
      <c r="C4" s="35">
        <v>5</v>
      </c>
      <c r="D4" s="35">
        <v>4</v>
      </c>
      <c r="E4" s="31">
        <f t="shared" si="1"/>
        <v>20</v>
      </c>
      <c r="F4" s="31" t="str">
        <f t="shared" si="2"/>
        <v>M</v>
      </c>
      <c r="H4">
        <v>6</v>
      </c>
      <c r="I4">
        <f t="shared" si="3"/>
        <v>6</v>
      </c>
      <c r="J4">
        <f t="shared" si="0"/>
        <v>18</v>
      </c>
      <c r="K4">
        <f t="shared" si="0"/>
        <v>30</v>
      </c>
      <c r="L4">
        <f t="shared" si="0"/>
        <v>42</v>
      </c>
      <c r="M4">
        <f t="shared" si="0"/>
        <v>54</v>
      </c>
    </row>
    <row r="5" spans="1:13" ht="15" x14ac:dyDescent="0.25">
      <c r="A5" s="44" t="s">
        <v>352</v>
      </c>
      <c r="B5" s="33" t="s">
        <v>23</v>
      </c>
      <c r="C5" s="35">
        <v>5</v>
      </c>
      <c r="D5" s="35">
        <v>8</v>
      </c>
      <c r="E5" s="31">
        <f t="shared" si="1"/>
        <v>40</v>
      </c>
      <c r="F5" s="31" t="str">
        <f t="shared" si="2"/>
        <v>H</v>
      </c>
      <c r="H5">
        <v>4</v>
      </c>
      <c r="I5">
        <f t="shared" si="3"/>
        <v>4</v>
      </c>
      <c r="J5">
        <f t="shared" si="0"/>
        <v>12</v>
      </c>
      <c r="K5">
        <f t="shared" si="0"/>
        <v>20</v>
      </c>
      <c r="L5">
        <f t="shared" si="0"/>
        <v>28</v>
      </c>
      <c r="M5">
        <f t="shared" si="0"/>
        <v>36</v>
      </c>
    </row>
    <row r="6" spans="1:13" ht="15" x14ac:dyDescent="0.25">
      <c r="A6" s="44" t="s">
        <v>353</v>
      </c>
      <c r="B6" s="33" t="s">
        <v>150</v>
      </c>
      <c r="C6" s="35">
        <v>7</v>
      </c>
      <c r="D6" s="35">
        <v>2</v>
      </c>
      <c r="E6" s="31">
        <f t="shared" si="1"/>
        <v>14</v>
      </c>
      <c r="F6" s="31" t="str">
        <f t="shared" si="2"/>
        <v>L</v>
      </c>
      <c r="H6">
        <v>2</v>
      </c>
      <c r="I6">
        <f t="shared" si="3"/>
        <v>2</v>
      </c>
      <c r="J6">
        <f t="shared" si="0"/>
        <v>6</v>
      </c>
      <c r="K6">
        <f t="shared" si="0"/>
        <v>10</v>
      </c>
      <c r="L6">
        <f t="shared" si="0"/>
        <v>14</v>
      </c>
      <c r="M6">
        <f t="shared" si="0"/>
        <v>18</v>
      </c>
    </row>
    <row r="7" spans="1:13" ht="15" x14ac:dyDescent="0.25">
      <c r="A7" s="44" t="s">
        <v>354</v>
      </c>
      <c r="B7" s="33" t="s">
        <v>158</v>
      </c>
      <c r="C7" s="35">
        <v>5</v>
      </c>
      <c r="D7" s="35">
        <v>6</v>
      </c>
      <c r="E7" s="31">
        <f t="shared" si="1"/>
        <v>30</v>
      </c>
      <c r="F7" s="31" t="str">
        <f t="shared" si="2"/>
        <v>M</v>
      </c>
      <c r="H7">
        <v>1</v>
      </c>
      <c r="I7">
        <f t="shared" si="3"/>
        <v>1</v>
      </c>
      <c r="J7">
        <f t="shared" si="0"/>
        <v>3</v>
      </c>
      <c r="K7">
        <f t="shared" si="0"/>
        <v>5</v>
      </c>
      <c r="L7">
        <f t="shared" si="0"/>
        <v>7</v>
      </c>
      <c r="M7">
        <f t="shared" si="0"/>
        <v>9</v>
      </c>
    </row>
    <row r="8" spans="1:13" ht="15" x14ac:dyDescent="0.25">
      <c r="A8" s="44" t="s">
        <v>355</v>
      </c>
      <c r="B8" s="33" t="s">
        <v>165</v>
      </c>
      <c r="C8" s="35">
        <v>7</v>
      </c>
      <c r="D8" s="35">
        <v>4</v>
      </c>
      <c r="E8" s="31">
        <f t="shared" si="1"/>
        <v>28</v>
      </c>
      <c r="F8" s="31" t="str">
        <f t="shared" si="2"/>
        <v>M</v>
      </c>
    </row>
    <row r="9" spans="1:13" ht="15" x14ac:dyDescent="0.25">
      <c r="A9" s="44" t="s">
        <v>356</v>
      </c>
      <c r="B9" s="33" t="s">
        <v>172</v>
      </c>
      <c r="C9" s="35">
        <v>5</v>
      </c>
      <c r="D9" s="35">
        <v>1</v>
      </c>
      <c r="E9" s="31">
        <f t="shared" si="1"/>
        <v>5</v>
      </c>
      <c r="F9" s="31" t="str">
        <f t="shared" si="2"/>
        <v>L</v>
      </c>
    </row>
    <row r="10" spans="1:13" ht="15" x14ac:dyDescent="0.25">
      <c r="A10" s="44" t="s">
        <v>357</v>
      </c>
      <c r="B10" s="33" t="s">
        <v>180</v>
      </c>
      <c r="C10" s="35">
        <v>7</v>
      </c>
      <c r="D10" s="35">
        <v>8</v>
      </c>
      <c r="E10" s="31">
        <f t="shared" si="1"/>
        <v>56</v>
      </c>
      <c r="F10" s="31" t="str">
        <f t="shared" si="2"/>
        <v>H</v>
      </c>
      <c r="H10" t="s">
        <v>343</v>
      </c>
      <c r="I10" s="43" t="s">
        <v>346</v>
      </c>
    </row>
    <row r="11" spans="1:13" ht="15" x14ac:dyDescent="0.25">
      <c r="A11" s="44" t="s">
        <v>358</v>
      </c>
      <c r="B11" s="33" t="s">
        <v>187</v>
      </c>
      <c r="C11" s="35">
        <v>7</v>
      </c>
      <c r="D11" s="35">
        <v>8</v>
      </c>
      <c r="E11" s="31">
        <f t="shared" si="1"/>
        <v>56</v>
      </c>
      <c r="F11" s="31" t="str">
        <f t="shared" si="2"/>
        <v>H</v>
      </c>
      <c r="H11" t="s">
        <v>344</v>
      </c>
      <c r="I11" s="11" t="s">
        <v>347</v>
      </c>
    </row>
    <row r="12" spans="1:13" ht="15" x14ac:dyDescent="0.25">
      <c r="A12" s="44" t="s">
        <v>359</v>
      </c>
      <c r="B12" s="33" t="s">
        <v>194</v>
      </c>
      <c r="C12" s="35">
        <v>5</v>
      </c>
      <c r="D12" s="35">
        <v>6</v>
      </c>
      <c r="E12" s="31">
        <f t="shared" si="1"/>
        <v>30</v>
      </c>
      <c r="F12" s="31" t="str">
        <f t="shared" si="2"/>
        <v>M</v>
      </c>
      <c r="H12" t="s">
        <v>345</v>
      </c>
      <c r="I12" s="11" t="s">
        <v>348</v>
      </c>
    </row>
    <row r="13" spans="1:13" ht="15" x14ac:dyDescent="0.25">
      <c r="A13" s="44" t="s">
        <v>360</v>
      </c>
      <c r="B13" s="33" t="s">
        <v>201</v>
      </c>
      <c r="C13" s="35">
        <v>5</v>
      </c>
      <c r="D13" s="35">
        <v>6</v>
      </c>
      <c r="E13" s="31">
        <f t="shared" si="1"/>
        <v>30</v>
      </c>
      <c r="F13" s="31" t="str">
        <f t="shared" si="2"/>
        <v>M</v>
      </c>
    </row>
    <row r="14" spans="1:13" ht="15" x14ac:dyDescent="0.25">
      <c r="A14" s="44" t="s">
        <v>361</v>
      </c>
      <c r="B14" s="33" t="s">
        <v>30</v>
      </c>
      <c r="C14" s="35">
        <v>7</v>
      </c>
      <c r="D14" s="35">
        <v>8</v>
      </c>
      <c r="E14" s="31">
        <f t="shared" si="1"/>
        <v>56</v>
      </c>
      <c r="F14" s="31" t="str">
        <f t="shared" si="2"/>
        <v>H</v>
      </c>
    </row>
    <row r="15" spans="1:13" ht="15" x14ac:dyDescent="0.25">
      <c r="A15" s="44" t="s">
        <v>362</v>
      </c>
      <c r="B15" s="33" t="s">
        <v>227</v>
      </c>
      <c r="C15" s="35">
        <v>5</v>
      </c>
      <c r="D15" s="35">
        <v>4</v>
      </c>
      <c r="E15" s="31">
        <f t="shared" si="1"/>
        <v>20</v>
      </c>
      <c r="F15" s="31" t="str">
        <f t="shared" si="2"/>
        <v>M</v>
      </c>
    </row>
    <row r="16" spans="1:13" ht="15" x14ac:dyDescent="0.25">
      <c r="A16" s="44" t="s">
        <v>363</v>
      </c>
      <c r="B16" s="33" t="s">
        <v>234</v>
      </c>
      <c r="C16" s="35">
        <v>7</v>
      </c>
      <c r="D16" s="35">
        <v>2</v>
      </c>
      <c r="E16" s="31">
        <f t="shared" si="1"/>
        <v>14</v>
      </c>
      <c r="F16" s="31" t="str">
        <f t="shared" si="2"/>
        <v>L</v>
      </c>
    </row>
    <row r="17" spans="1:6" ht="15" x14ac:dyDescent="0.25">
      <c r="A17" s="44" t="s">
        <v>364</v>
      </c>
      <c r="B17" s="33" t="s">
        <v>31</v>
      </c>
      <c r="C17" s="35">
        <v>7</v>
      </c>
      <c r="D17" s="35">
        <v>4</v>
      </c>
      <c r="E17" s="31">
        <f t="shared" si="1"/>
        <v>28</v>
      </c>
      <c r="F17" s="31" t="str">
        <f t="shared" si="2"/>
        <v>M</v>
      </c>
    </row>
    <row r="18" spans="1:6" ht="15" x14ac:dyDescent="0.25">
      <c r="A18" s="44" t="s">
        <v>365</v>
      </c>
      <c r="B18" s="33" t="s">
        <v>247</v>
      </c>
      <c r="C18" s="35">
        <v>5</v>
      </c>
      <c r="D18" s="35">
        <v>4</v>
      </c>
      <c r="E18" s="31">
        <f t="shared" si="1"/>
        <v>20</v>
      </c>
      <c r="F18" s="31" t="str">
        <f t="shared" si="2"/>
        <v>M</v>
      </c>
    </row>
    <row r="19" spans="1:6" ht="15" x14ac:dyDescent="0.25">
      <c r="A19" s="44" t="s">
        <v>366</v>
      </c>
      <c r="B19" s="33" t="s">
        <v>254</v>
      </c>
      <c r="C19" s="35">
        <v>5</v>
      </c>
      <c r="D19" s="35">
        <v>6</v>
      </c>
      <c r="E19" s="31">
        <f t="shared" si="1"/>
        <v>30</v>
      </c>
      <c r="F19" s="31" t="str">
        <f t="shared" si="2"/>
        <v>M</v>
      </c>
    </row>
    <row r="20" spans="1:6" ht="15" x14ac:dyDescent="0.25">
      <c r="A20" s="44" t="s">
        <v>367</v>
      </c>
      <c r="B20" s="33" t="s">
        <v>32</v>
      </c>
      <c r="C20" s="35">
        <v>5</v>
      </c>
      <c r="D20" s="35">
        <v>6</v>
      </c>
      <c r="E20" s="31">
        <f t="shared" si="1"/>
        <v>30</v>
      </c>
      <c r="F20" s="31" t="str">
        <f t="shared" si="2"/>
        <v>M</v>
      </c>
    </row>
    <row r="21" spans="1:6" ht="15" x14ac:dyDescent="0.25">
      <c r="A21" s="44" t="s">
        <v>368</v>
      </c>
      <c r="B21" s="33" t="s">
        <v>267</v>
      </c>
      <c r="C21" s="35">
        <v>5</v>
      </c>
      <c r="D21" s="35">
        <v>4</v>
      </c>
      <c r="E21" s="31">
        <f t="shared" si="1"/>
        <v>20</v>
      </c>
      <c r="F21" s="31" t="str">
        <f t="shared" si="2"/>
        <v>M</v>
      </c>
    </row>
    <row r="22" spans="1:6" ht="15" x14ac:dyDescent="0.25">
      <c r="A22" s="44" t="s">
        <v>369</v>
      </c>
      <c r="B22" s="33" t="s">
        <v>274</v>
      </c>
      <c r="C22" s="35">
        <v>7</v>
      </c>
      <c r="D22" s="35">
        <v>2</v>
      </c>
      <c r="E22" s="31">
        <f t="shared" si="1"/>
        <v>14</v>
      </c>
      <c r="F22" s="31" t="str">
        <f t="shared" si="2"/>
        <v>L</v>
      </c>
    </row>
    <row r="23" spans="1:6" ht="15" x14ac:dyDescent="0.25">
      <c r="A23" s="44" t="s">
        <v>370</v>
      </c>
      <c r="B23" s="33" t="s">
        <v>281</v>
      </c>
      <c r="C23" s="35">
        <v>3</v>
      </c>
      <c r="D23" s="35">
        <v>8</v>
      </c>
      <c r="E23" s="31">
        <f t="shared" si="1"/>
        <v>24</v>
      </c>
      <c r="F23" s="31" t="str">
        <f t="shared" si="2"/>
        <v>M</v>
      </c>
    </row>
    <row r="24" spans="1:6" ht="15" x14ac:dyDescent="0.25">
      <c r="A24" s="44" t="s">
        <v>371</v>
      </c>
      <c r="B24" s="33" t="s">
        <v>288</v>
      </c>
      <c r="C24" s="35">
        <v>5</v>
      </c>
      <c r="D24" s="35">
        <v>4</v>
      </c>
      <c r="E24" s="31">
        <f t="shared" si="1"/>
        <v>20</v>
      </c>
      <c r="F24" s="31" t="str">
        <f t="shared" si="2"/>
        <v>M</v>
      </c>
    </row>
    <row r="25" spans="1:6" ht="15" x14ac:dyDescent="0.25">
      <c r="A25" s="44" t="s">
        <v>372</v>
      </c>
      <c r="B25" s="33" t="s">
        <v>295</v>
      </c>
      <c r="C25" s="35">
        <v>7</v>
      </c>
      <c r="D25" s="35">
        <v>2</v>
      </c>
      <c r="E25" s="31">
        <f t="shared" si="1"/>
        <v>14</v>
      </c>
      <c r="F25" s="31" t="str">
        <f t="shared" si="2"/>
        <v>L</v>
      </c>
    </row>
    <row r="26" spans="1:6" ht="15" x14ac:dyDescent="0.25">
      <c r="A26" s="44" t="s">
        <v>373</v>
      </c>
      <c r="B26" s="33" t="s">
        <v>34</v>
      </c>
      <c r="C26" s="35">
        <v>5</v>
      </c>
      <c r="D26" s="35">
        <v>8</v>
      </c>
      <c r="E26" s="31">
        <f t="shared" si="1"/>
        <v>40</v>
      </c>
      <c r="F26" s="31" t="str">
        <f t="shared" si="2"/>
        <v>H</v>
      </c>
    </row>
    <row r="27" spans="1:6" ht="15" x14ac:dyDescent="0.25">
      <c r="A27" s="44" t="s">
        <v>374</v>
      </c>
      <c r="B27" s="33" t="s">
        <v>308</v>
      </c>
      <c r="C27" s="35">
        <v>7</v>
      </c>
      <c r="D27" s="35">
        <v>6</v>
      </c>
      <c r="E27" s="31">
        <f t="shared" si="1"/>
        <v>42</v>
      </c>
      <c r="F27" s="31" t="str">
        <f t="shared" si="2"/>
        <v>H</v>
      </c>
    </row>
    <row r="28" spans="1:6" ht="15" x14ac:dyDescent="0.25">
      <c r="A28" s="44" t="s">
        <v>375</v>
      </c>
      <c r="B28" s="33" t="s">
        <v>315</v>
      </c>
      <c r="C28" s="35">
        <v>7</v>
      </c>
      <c r="D28" s="35">
        <v>6</v>
      </c>
      <c r="E28" s="31">
        <f t="shared" si="1"/>
        <v>42</v>
      </c>
      <c r="F28" s="31" t="str">
        <f t="shared" si="2"/>
        <v>H</v>
      </c>
    </row>
    <row r="29" spans="1:6" ht="15" x14ac:dyDescent="0.25">
      <c r="A29" s="44" t="s">
        <v>376</v>
      </c>
      <c r="B29" s="33" t="s">
        <v>35</v>
      </c>
      <c r="C29" s="35">
        <v>5</v>
      </c>
      <c r="D29" s="35">
        <v>8</v>
      </c>
      <c r="E29" s="31">
        <f t="shared" si="1"/>
        <v>40</v>
      </c>
      <c r="F29" s="31" t="str">
        <f t="shared" si="2"/>
        <v>H</v>
      </c>
    </row>
    <row r="30" spans="1:6" ht="15" x14ac:dyDescent="0.25">
      <c r="A30" s="44" t="s">
        <v>377</v>
      </c>
      <c r="B30" s="33" t="s">
        <v>36</v>
      </c>
      <c r="C30" s="35">
        <v>5</v>
      </c>
      <c r="D30" s="35">
        <v>6</v>
      </c>
      <c r="E30" s="31">
        <f t="shared" si="1"/>
        <v>30</v>
      </c>
      <c r="F30" s="31" t="str">
        <f t="shared" si="2"/>
        <v>M</v>
      </c>
    </row>
    <row r="31" spans="1:6" ht="15" x14ac:dyDescent="0.25">
      <c r="A31" s="44" t="s">
        <v>378</v>
      </c>
      <c r="B31" s="33" t="s">
        <v>334</v>
      </c>
      <c r="C31" s="35">
        <v>3</v>
      </c>
      <c r="D31" s="35">
        <v>4</v>
      </c>
      <c r="E31" s="31">
        <f t="shared" si="1"/>
        <v>12</v>
      </c>
      <c r="F31" s="31" t="str">
        <f t="shared" si="2"/>
        <v>L</v>
      </c>
    </row>
    <row r="32" spans="1:6" ht="15" x14ac:dyDescent="0.25">
      <c r="A32" s="29"/>
      <c r="B32" s="12"/>
      <c r="C32" s="12"/>
      <c r="D32" s="12"/>
    </row>
  </sheetData>
  <phoneticPr fontId="17" type="noConversion"/>
  <conditionalFormatting sqref="B1:D32">
    <cfRule type="colorScale" priority="7">
      <colorScale>
        <cfvo type="min"/>
        <cfvo type="percentile" val="50"/>
        <cfvo type="max"/>
        <color rgb="FF63BE7B"/>
        <color rgb="FFFFEB84"/>
        <color rgb="FFF8696B"/>
      </colorScale>
    </cfRule>
  </conditionalFormatting>
  <conditionalFormatting sqref="E1:F1">
    <cfRule type="colorScale" priority="5">
      <colorScale>
        <cfvo type="min"/>
        <cfvo type="percentile" val="50"/>
        <cfvo type="max"/>
        <color rgb="FF63BE7B"/>
        <color rgb="FFFFEB84"/>
        <color rgb="FFF8696B"/>
      </colorScale>
    </cfRule>
  </conditionalFormatting>
  <conditionalFormatting sqref="I2:M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C842-6FAB-4DBC-B9A4-731AB0EA964A}">
  <dimension ref="A1:F47"/>
  <sheetViews>
    <sheetView workbookViewId="0">
      <selection activeCell="A10" sqref="A10:C14"/>
    </sheetView>
  </sheetViews>
  <sheetFormatPr defaultRowHeight="14.25" x14ac:dyDescent="0.2"/>
  <cols>
    <col min="1" max="1" width="21" customWidth="1"/>
    <col min="2" max="2" width="13.25" customWidth="1"/>
    <col min="3" max="3" width="11.875" customWidth="1"/>
    <col min="4" max="4" width="30.375" customWidth="1"/>
    <col min="5" max="5" width="19.5" customWidth="1"/>
    <col min="6" max="6" width="12.25" customWidth="1"/>
  </cols>
  <sheetData>
    <row r="1" spans="1:6" ht="31.5" customHeight="1" x14ac:dyDescent="0.2">
      <c r="A1" s="51" t="s">
        <v>379</v>
      </c>
      <c r="B1" s="51"/>
      <c r="C1" s="51"/>
      <c r="D1" s="51"/>
      <c r="E1" s="51"/>
      <c r="F1" s="51"/>
    </row>
    <row r="2" spans="1:6" ht="15" x14ac:dyDescent="0.25">
      <c r="A2" s="50" t="s">
        <v>342</v>
      </c>
      <c r="B2" s="50">
        <v>1</v>
      </c>
      <c r="C2" s="50">
        <v>3</v>
      </c>
      <c r="D2" s="50">
        <v>5</v>
      </c>
      <c r="E2" s="50">
        <v>7</v>
      </c>
      <c r="F2" s="50">
        <v>9</v>
      </c>
    </row>
    <row r="3" spans="1:6" ht="24.75" customHeight="1" x14ac:dyDescent="0.25">
      <c r="A3" s="50">
        <v>9</v>
      </c>
      <c r="B3" s="49" t="str" cm="1">
        <f t="array" ref="B3">_xlfn.TEXTJOIN(", ",TRUE,_xlfn._xlws.FILTER('Risk Register'!$A$2:$A$31,('Risk Register'!$C$2:$C$31=B$2)*('Risk Register'!$D$2:$D$31=$A3),""))</f>
        <v/>
      </c>
      <c r="C3" s="49" t="str" cm="1">
        <f t="array" ref="C3">_xlfn.TEXTJOIN(", ",TRUE,_xlfn._xlws.FILTER('Risk Register'!$A$2:$A$31,('Risk Register'!$C$2:$C$31=C$2)*('Risk Register'!$D$2:$D$31=$A3),""))</f>
        <v/>
      </c>
      <c r="D3" s="49" t="str" cm="1">
        <f t="array" ref="D3">_xlfn.TEXTJOIN(", ",TRUE,_xlfn._xlws.FILTER('Risk Register'!$A$2:$A$31,('Risk Register'!$C$2:$C$31=D$2)*('Risk Register'!$D$2:$D$31=$A3),""))</f>
        <v/>
      </c>
      <c r="E3" s="49" t="str" cm="1">
        <f t="array" ref="E3">_xlfn.TEXTJOIN(", ",TRUE,_xlfn._xlws.FILTER('Risk Register'!$A$2:$A$31,('Risk Register'!$C$2:$C$31=E$2)*('Risk Register'!$D$2:$D$31=$A3),""))</f>
        <v/>
      </c>
      <c r="F3" s="49" t="str" cm="1">
        <f t="array" ref="F3">_xlfn.TEXTJOIN(", ",TRUE,_xlfn._xlws.FILTER('Risk Register'!$A$2:$A$31,('Risk Register'!$C$2:$C$31=F$2)*('Risk Register'!$D$2:$D$31=$A3),""))</f>
        <v/>
      </c>
    </row>
    <row r="4" spans="1:6" ht="27" customHeight="1" x14ac:dyDescent="0.25">
      <c r="A4" s="50">
        <v>8</v>
      </c>
      <c r="B4" s="49" t="str" cm="1">
        <f t="array" ref="B4">_xlfn.TEXTJOIN(", ",TRUE,_xlfn._xlws.FILTER('Risk Register'!$A$2:$A$31,('Risk Register'!$C$2:$C$31=B$2)*('Risk Register'!$D$2:$D$31=$A4),""))</f>
        <v/>
      </c>
      <c r="C4" s="49" t="str" cm="1">
        <f t="array" ref="C4">_xlfn.TEXTJOIN(", ",TRUE,_xlfn._xlws.FILTER('Risk Register'!$A$2:$A$31,('Risk Register'!$C$2:$C$31=C$2)*('Risk Register'!$D$2:$D$31=$A4),""))</f>
        <v>R1, R22</v>
      </c>
      <c r="D4" s="49" t="str" cm="1">
        <f t="array" ref="D4">_xlfn.TEXTJOIN(", ",TRUE,_xlfn._xlws.FILTER('Risk Register'!$A$2:$A$31,('Risk Register'!$C$2:$C$31=D$2)*('Risk Register'!$D$2:$D$31=$A4),""))</f>
        <v>R4, R25, R28</v>
      </c>
      <c r="E4" s="49" t="str" cm="1">
        <f t="array" ref="E4">_xlfn.TEXTJOIN(", ",TRUE,_xlfn._xlws.FILTER('Risk Register'!$A$2:$A$31,('Risk Register'!$C$2:$C$31=E$2)*('Risk Register'!$D$2:$D$31=$A4),""))</f>
        <v>R9, R10, R13</v>
      </c>
      <c r="F4" s="49" t="str" cm="1">
        <f t="array" ref="F4">_xlfn.TEXTJOIN(", ",TRUE,_xlfn._xlws.FILTER('Risk Register'!$A$2:$A$31,('Risk Register'!$C$2:$C$31=F$2)*('Risk Register'!$D$2:$D$31=$A4),""))</f>
        <v/>
      </c>
    </row>
    <row r="5" spans="1:6" ht="26.25" customHeight="1" x14ac:dyDescent="0.25">
      <c r="A5" s="50">
        <v>6</v>
      </c>
      <c r="B5" s="49" t="str" cm="1">
        <f t="array" ref="B5">_xlfn.TEXTJOIN(", ",TRUE,_xlfn._xlws.FILTER('Risk Register'!$A$2:$A$31,('Risk Register'!$C$2:$C$31=B$2)*('Risk Register'!$D$2:$D$31=$A5),""))</f>
        <v/>
      </c>
      <c r="C5" s="49" t="str" cm="1">
        <f t="array" ref="C5">_xlfn.TEXTJOIN(", ",TRUE,_xlfn._xlws.FILTER('Risk Register'!$A$2:$A$31,('Risk Register'!$C$2:$C$31=C$2)*('Risk Register'!$D$2:$D$31=$A5),""))</f>
        <v/>
      </c>
      <c r="D5" s="49" t="str" cm="1">
        <f t="array" ref="D5">_xlfn.TEXTJOIN(", ",TRUE,_xlfn._xlws.FILTER('Risk Register'!$A$2:$A$31,('Risk Register'!$C$2:$C$31=D$2)*('Risk Register'!$D$2:$D$31=$A5),""))</f>
        <v>R2, R6, R11, R12, R18, R19, R29</v>
      </c>
      <c r="E5" s="49" t="str" cm="1">
        <f t="array" ref="E5">_xlfn.TEXTJOIN(", ",TRUE,_xlfn._xlws.FILTER('Risk Register'!$A$2:$A$31,('Risk Register'!$C$2:$C$31=E$2)*('Risk Register'!$D$2:$D$31=$A5),""))</f>
        <v>R26, R27</v>
      </c>
      <c r="F5" s="49" t="str" cm="1">
        <f t="array" ref="F5">_xlfn.TEXTJOIN(", ",TRUE,_xlfn._xlws.FILTER('Risk Register'!$A$2:$A$31,('Risk Register'!$C$2:$C$31=F$2)*('Risk Register'!$D$2:$D$31=$A5),""))</f>
        <v/>
      </c>
    </row>
    <row r="6" spans="1:6" ht="30" customHeight="1" x14ac:dyDescent="0.25">
      <c r="A6" s="50">
        <v>4</v>
      </c>
      <c r="B6" s="49" t="str" cm="1">
        <f t="array" ref="B6">_xlfn.TEXTJOIN(", ",TRUE,_xlfn._xlws.FILTER('Risk Register'!$A$2:$A$31,('Risk Register'!$C$2:$C$31=B$2)*('Risk Register'!$D$2:$D$31=$A6),""))</f>
        <v/>
      </c>
      <c r="C6" s="49" t="str" cm="1">
        <f t="array" ref="C6">_xlfn.TEXTJOIN(", ",TRUE,_xlfn._xlws.FILTER('Risk Register'!$A$2:$A$31,('Risk Register'!$C$2:$C$31=C$2)*('Risk Register'!$D$2:$D$31=$A6),""))</f>
        <v>R30</v>
      </c>
      <c r="D6" s="49" t="str" cm="1">
        <f t="array" ref="D6">_xlfn.TEXTJOIN(", ",TRUE,_xlfn._xlws.FILTER('Risk Register'!$A$2:$A$31,('Risk Register'!$C$2:$C$31=D$2)*('Risk Register'!$D$2:$D$31=$A6),""))</f>
        <v>R3, R14, R17, R20, R23</v>
      </c>
      <c r="E6" s="49" t="str" cm="1">
        <f t="array" ref="E6">_xlfn.TEXTJOIN(", ",TRUE,_xlfn._xlws.FILTER('Risk Register'!$A$2:$A$31,('Risk Register'!$C$2:$C$31=E$2)*('Risk Register'!$D$2:$D$31=$A6),""))</f>
        <v>R7, R16</v>
      </c>
      <c r="F6" s="49" t="str" cm="1">
        <f t="array" ref="F6">_xlfn.TEXTJOIN(", ",TRUE,_xlfn._xlws.FILTER('Risk Register'!$A$2:$A$31,('Risk Register'!$C$2:$C$31=F$2)*('Risk Register'!$D$2:$D$31=$A6),""))</f>
        <v/>
      </c>
    </row>
    <row r="7" spans="1:6" ht="27" customHeight="1" x14ac:dyDescent="0.25">
      <c r="A7" s="50">
        <v>2</v>
      </c>
      <c r="B7" s="49" t="str" cm="1">
        <f t="array" ref="B7">_xlfn.TEXTJOIN(", ",TRUE,_xlfn._xlws.FILTER('Risk Register'!$A$2:$A$31,('Risk Register'!$C$2:$C$31=B$2)*('Risk Register'!$D$2:$D$31=$A7),""))</f>
        <v/>
      </c>
      <c r="C7" s="49" t="str" cm="1">
        <f t="array" ref="C7">_xlfn.TEXTJOIN(", ",TRUE,_xlfn._xlws.FILTER('Risk Register'!$A$2:$A$31,('Risk Register'!$C$2:$C$31=C$2)*('Risk Register'!$D$2:$D$31=$A7),""))</f>
        <v/>
      </c>
      <c r="D7" s="49" t="str" cm="1">
        <f t="array" ref="D7">_xlfn.TEXTJOIN(", ",TRUE,_xlfn._xlws.FILTER('Risk Register'!$A$2:$A$31,('Risk Register'!$C$2:$C$31=D$2)*('Risk Register'!$D$2:$D$31=$A7),""))</f>
        <v/>
      </c>
      <c r="E7" s="49" t="str" cm="1">
        <f t="array" ref="E7">_xlfn.TEXTJOIN(", ",TRUE,_xlfn._xlws.FILTER('Risk Register'!$A$2:$A$31,('Risk Register'!$C$2:$C$31=E$2)*('Risk Register'!$D$2:$D$31=$A7),""))</f>
        <v>R5, R15, R21, R24</v>
      </c>
      <c r="F7" s="49" t="str" cm="1">
        <f t="array" ref="F7">_xlfn.TEXTJOIN(", ",TRUE,_xlfn._xlws.FILTER('Risk Register'!$A$2:$A$31,('Risk Register'!$C$2:$C$31=F$2)*('Risk Register'!$D$2:$D$31=$A7),""))</f>
        <v/>
      </c>
    </row>
    <row r="8" spans="1:6" ht="32.25" customHeight="1" x14ac:dyDescent="0.25">
      <c r="A8" s="50">
        <v>1</v>
      </c>
      <c r="B8" s="49" t="str" cm="1">
        <f t="array" ref="B8">_xlfn.TEXTJOIN(", ",TRUE,_xlfn._xlws.FILTER('Risk Register'!$A$2:$A$31,('Risk Register'!$C$2:$C$31=B$2)*('Risk Register'!$D$2:$D$31=$A8),""))</f>
        <v/>
      </c>
      <c r="C8" s="49" t="str" cm="1">
        <f t="array" ref="C8">_xlfn.TEXTJOIN(", ",TRUE,_xlfn._xlws.FILTER('Risk Register'!$A$2:$A$31,('Risk Register'!$C$2:$C$31=C$2)*('Risk Register'!$D$2:$D$31=$A8),""))</f>
        <v/>
      </c>
      <c r="D8" s="49" t="str" cm="1">
        <f t="array" ref="D8">_xlfn.TEXTJOIN(", ",TRUE,_xlfn._xlws.FILTER('Risk Register'!$A$2:$A$31,('Risk Register'!$C$2:$C$31=D$2)*('Risk Register'!$D$2:$D$31=$A8),""))</f>
        <v>R8</v>
      </c>
      <c r="E8" s="49" t="str" cm="1">
        <f t="array" ref="E8">_xlfn.TEXTJOIN(", ",TRUE,_xlfn._xlws.FILTER('Risk Register'!$A$2:$A$31,('Risk Register'!$C$2:$C$31=E$2)*('Risk Register'!$D$2:$D$31=$A8),""))</f>
        <v/>
      </c>
      <c r="F8" s="49" t="str" cm="1">
        <f t="array" ref="F8">_xlfn.TEXTJOIN(", ",TRUE,_xlfn._xlws.FILTER('Risk Register'!$A$2:$A$31,('Risk Register'!$C$2:$C$31=F$2)*('Risk Register'!$D$2:$D$31=$A8),""))</f>
        <v/>
      </c>
    </row>
    <row r="10" spans="1:6" ht="24" customHeight="1" x14ac:dyDescent="0.25">
      <c r="A10" s="54" t="s">
        <v>383</v>
      </c>
      <c r="B10" s="54"/>
      <c r="C10" s="54"/>
    </row>
    <row r="11" spans="1:6" ht="15" x14ac:dyDescent="0.25">
      <c r="A11" s="48" t="s">
        <v>380</v>
      </c>
      <c r="B11" s="48" t="s">
        <v>381</v>
      </c>
      <c r="C11" s="48" t="s">
        <v>382</v>
      </c>
    </row>
    <row r="12" spans="1:6" ht="15" x14ac:dyDescent="0.25">
      <c r="A12" s="48" t="s">
        <v>343</v>
      </c>
      <c r="B12" s="52" t="s">
        <v>346</v>
      </c>
      <c r="C12" s="45"/>
    </row>
    <row r="13" spans="1:6" ht="15" x14ac:dyDescent="0.25">
      <c r="A13" s="48" t="s">
        <v>344</v>
      </c>
      <c r="B13" s="53" t="s">
        <v>347</v>
      </c>
      <c r="C13" s="46"/>
    </row>
    <row r="14" spans="1:6" ht="15" x14ac:dyDescent="0.25">
      <c r="A14" s="48" t="s">
        <v>345</v>
      </c>
      <c r="B14" s="53" t="s">
        <v>348</v>
      </c>
      <c r="C14" s="47"/>
    </row>
    <row r="15" spans="1:6" x14ac:dyDescent="0.2">
      <c r="B15" s="11"/>
    </row>
    <row r="17" spans="1:6" ht="15" x14ac:dyDescent="0.25">
      <c r="A17" s="28" t="s">
        <v>19</v>
      </c>
      <c r="B17" s="17" t="s">
        <v>20</v>
      </c>
      <c r="C17" s="17" t="s">
        <v>21</v>
      </c>
      <c r="D17" s="17" t="s">
        <v>22</v>
      </c>
      <c r="E17" s="30" t="s">
        <v>99</v>
      </c>
      <c r="F17" s="30" t="s">
        <v>341</v>
      </c>
    </row>
    <row r="18" spans="1:6" ht="36" x14ac:dyDescent="0.25">
      <c r="A18" s="44" t="s">
        <v>349</v>
      </c>
      <c r="B18" s="32" t="s">
        <v>105</v>
      </c>
      <c r="C18" s="34">
        <v>3</v>
      </c>
      <c r="D18" s="34">
        <v>8</v>
      </c>
      <c r="E18" s="31">
        <f>C18*D18</f>
        <v>24</v>
      </c>
      <c r="F18" s="31" t="str">
        <f>IF(E18&gt;=40,"H",IF(E18&gt;=15,"M","L"))</f>
        <v>M</v>
      </c>
    </row>
    <row r="19" spans="1:6" ht="36" x14ac:dyDescent="0.25">
      <c r="A19" s="44" t="s">
        <v>350</v>
      </c>
      <c r="B19" s="32" t="s">
        <v>115</v>
      </c>
      <c r="C19" s="34">
        <v>5</v>
      </c>
      <c r="D19" s="34">
        <v>6</v>
      </c>
      <c r="E19" s="31">
        <f t="shared" ref="E19:E47" si="0">C19*D19</f>
        <v>30</v>
      </c>
      <c r="F19" s="31" t="str">
        <f t="shared" ref="F19:F47" si="1">IF(E19&gt;=40,"H",IF(E19&gt;=15,"M","L"))</f>
        <v>M</v>
      </c>
    </row>
    <row r="20" spans="1:6" ht="84" x14ac:dyDescent="0.25">
      <c r="A20" s="44" t="s">
        <v>351</v>
      </c>
      <c r="B20" s="33" t="s">
        <v>123</v>
      </c>
      <c r="C20" s="35">
        <v>5</v>
      </c>
      <c r="D20" s="35">
        <v>4</v>
      </c>
      <c r="E20" s="31">
        <f t="shared" si="0"/>
        <v>20</v>
      </c>
      <c r="F20" s="31" t="str">
        <f t="shared" si="1"/>
        <v>M</v>
      </c>
    </row>
    <row r="21" spans="1:6" ht="36" x14ac:dyDescent="0.25">
      <c r="A21" s="44" t="s">
        <v>352</v>
      </c>
      <c r="B21" s="33" t="s">
        <v>23</v>
      </c>
      <c r="C21" s="35">
        <v>5</v>
      </c>
      <c r="D21" s="35">
        <v>8</v>
      </c>
      <c r="E21" s="31">
        <f t="shared" si="0"/>
        <v>40</v>
      </c>
      <c r="F21" s="31" t="str">
        <f t="shared" si="1"/>
        <v>H</v>
      </c>
    </row>
    <row r="22" spans="1:6" ht="48" x14ac:dyDescent="0.25">
      <c r="A22" s="44" t="s">
        <v>353</v>
      </c>
      <c r="B22" s="33" t="s">
        <v>150</v>
      </c>
      <c r="C22" s="35">
        <v>7</v>
      </c>
      <c r="D22" s="35">
        <v>2</v>
      </c>
      <c r="E22" s="31">
        <f t="shared" si="0"/>
        <v>14</v>
      </c>
      <c r="F22" s="31" t="str">
        <f t="shared" si="1"/>
        <v>L</v>
      </c>
    </row>
    <row r="23" spans="1:6" ht="48" x14ac:dyDescent="0.25">
      <c r="A23" s="44" t="s">
        <v>354</v>
      </c>
      <c r="B23" s="33" t="s">
        <v>158</v>
      </c>
      <c r="C23" s="35">
        <v>5</v>
      </c>
      <c r="D23" s="35">
        <v>6</v>
      </c>
      <c r="E23" s="31">
        <f t="shared" si="0"/>
        <v>30</v>
      </c>
      <c r="F23" s="31" t="str">
        <f t="shared" si="1"/>
        <v>M</v>
      </c>
    </row>
    <row r="24" spans="1:6" ht="48" x14ac:dyDescent="0.25">
      <c r="A24" s="44" t="s">
        <v>355</v>
      </c>
      <c r="B24" s="33" t="s">
        <v>165</v>
      </c>
      <c r="C24" s="35">
        <v>7</v>
      </c>
      <c r="D24" s="35">
        <v>4</v>
      </c>
      <c r="E24" s="31">
        <f t="shared" si="0"/>
        <v>28</v>
      </c>
      <c r="F24" s="31" t="str">
        <f t="shared" si="1"/>
        <v>M</v>
      </c>
    </row>
    <row r="25" spans="1:6" ht="60" x14ac:dyDescent="0.25">
      <c r="A25" s="44" t="s">
        <v>356</v>
      </c>
      <c r="B25" s="33" t="s">
        <v>172</v>
      </c>
      <c r="C25" s="35">
        <v>5</v>
      </c>
      <c r="D25" s="35">
        <v>1</v>
      </c>
      <c r="E25" s="31">
        <f t="shared" si="0"/>
        <v>5</v>
      </c>
      <c r="F25" s="31" t="str">
        <f t="shared" si="1"/>
        <v>L</v>
      </c>
    </row>
    <row r="26" spans="1:6" ht="36" x14ac:dyDescent="0.25">
      <c r="A26" s="44" t="s">
        <v>357</v>
      </c>
      <c r="B26" s="33" t="s">
        <v>180</v>
      </c>
      <c r="C26" s="35">
        <v>7</v>
      </c>
      <c r="D26" s="35">
        <v>8</v>
      </c>
      <c r="E26" s="31">
        <f t="shared" si="0"/>
        <v>56</v>
      </c>
      <c r="F26" s="31" t="str">
        <f t="shared" si="1"/>
        <v>H</v>
      </c>
    </row>
    <row r="27" spans="1:6" ht="24" x14ac:dyDescent="0.25">
      <c r="A27" s="44" t="s">
        <v>358</v>
      </c>
      <c r="B27" s="33" t="s">
        <v>187</v>
      </c>
      <c r="C27" s="35">
        <v>7</v>
      </c>
      <c r="D27" s="35">
        <v>8</v>
      </c>
      <c r="E27" s="31">
        <f t="shared" si="0"/>
        <v>56</v>
      </c>
      <c r="F27" s="31" t="str">
        <f t="shared" si="1"/>
        <v>H</v>
      </c>
    </row>
    <row r="28" spans="1:6" ht="24" x14ac:dyDescent="0.25">
      <c r="A28" s="44" t="s">
        <v>359</v>
      </c>
      <c r="B28" s="33" t="s">
        <v>194</v>
      </c>
      <c r="C28" s="35">
        <v>5</v>
      </c>
      <c r="D28" s="35">
        <v>6</v>
      </c>
      <c r="E28" s="31">
        <f t="shared" si="0"/>
        <v>30</v>
      </c>
      <c r="F28" s="31" t="str">
        <f t="shared" si="1"/>
        <v>M</v>
      </c>
    </row>
    <row r="29" spans="1:6" ht="24" x14ac:dyDescent="0.25">
      <c r="A29" s="44" t="s">
        <v>360</v>
      </c>
      <c r="B29" s="33" t="s">
        <v>201</v>
      </c>
      <c r="C29" s="35">
        <v>5</v>
      </c>
      <c r="D29" s="35">
        <v>6</v>
      </c>
      <c r="E29" s="31">
        <f t="shared" si="0"/>
        <v>30</v>
      </c>
      <c r="F29" s="31" t="str">
        <f t="shared" si="1"/>
        <v>M</v>
      </c>
    </row>
    <row r="30" spans="1:6" ht="24" x14ac:dyDescent="0.25">
      <c r="A30" s="44" t="s">
        <v>361</v>
      </c>
      <c r="B30" s="33" t="s">
        <v>30</v>
      </c>
      <c r="C30" s="35">
        <v>7</v>
      </c>
      <c r="D30" s="35">
        <v>8</v>
      </c>
      <c r="E30" s="31">
        <f t="shared" si="0"/>
        <v>56</v>
      </c>
      <c r="F30" s="31" t="str">
        <f t="shared" si="1"/>
        <v>H</v>
      </c>
    </row>
    <row r="31" spans="1:6" ht="36" x14ac:dyDescent="0.25">
      <c r="A31" s="44" t="s">
        <v>362</v>
      </c>
      <c r="B31" s="33" t="s">
        <v>227</v>
      </c>
      <c r="C31" s="35">
        <v>5</v>
      </c>
      <c r="D31" s="35">
        <v>4</v>
      </c>
      <c r="E31" s="31">
        <f t="shared" si="0"/>
        <v>20</v>
      </c>
      <c r="F31" s="31" t="str">
        <f t="shared" si="1"/>
        <v>M</v>
      </c>
    </row>
    <row r="32" spans="1:6" ht="48" x14ac:dyDescent="0.25">
      <c r="A32" s="44" t="s">
        <v>363</v>
      </c>
      <c r="B32" s="33" t="s">
        <v>234</v>
      </c>
      <c r="C32" s="35">
        <v>7</v>
      </c>
      <c r="D32" s="35">
        <v>2</v>
      </c>
      <c r="E32" s="31">
        <f t="shared" si="0"/>
        <v>14</v>
      </c>
      <c r="F32" s="31" t="str">
        <f t="shared" si="1"/>
        <v>L</v>
      </c>
    </row>
    <row r="33" spans="1:6" ht="24" x14ac:dyDescent="0.25">
      <c r="A33" s="44" t="s">
        <v>364</v>
      </c>
      <c r="B33" s="33" t="s">
        <v>31</v>
      </c>
      <c r="C33" s="35">
        <v>7</v>
      </c>
      <c r="D33" s="35">
        <v>4</v>
      </c>
      <c r="E33" s="31">
        <f t="shared" si="0"/>
        <v>28</v>
      </c>
      <c r="F33" s="31" t="str">
        <f t="shared" si="1"/>
        <v>M</v>
      </c>
    </row>
    <row r="34" spans="1:6" ht="36" x14ac:dyDescent="0.25">
      <c r="A34" s="44" t="s">
        <v>365</v>
      </c>
      <c r="B34" s="33" t="s">
        <v>247</v>
      </c>
      <c r="C34" s="35">
        <v>5</v>
      </c>
      <c r="D34" s="35">
        <v>4</v>
      </c>
      <c r="E34" s="31">
        <f t="shared" si="0"/>
        <v>20</v>
      </c>
      <c r="F34" s="31" t="str">
        <f t="shared" si="1"/>
        <v>M</v>
      </c>
    </row>
    <row r="35" spans="1:6" ht="48" x14ac:dyDescent="0.25">
      <c r="A35" s="44" t="s">
        <v>366</v>
      </c>
      <c r="B35" s="33" t="s">
        <v>254</v>
      </c>
      <c r="C35" s="35">
        <v>5</v>
      </c>
      <c r="D35" s="35">
        <v>6</v>
      </c>
      <c r="E35" s="31">
        <f t="shared" si="0"/>
        <v>30</v>
      </c>
      <c r="F35" s="31" t="str">
        <f t="shared" si="1"/>
        <v>M</v>
      </c>
    </row>
    <row r="36" spans="1:6" ht="36" x14ac:dyDescent="0.25">
      <c r="A36" s="44" t="s">
        <v>367</v>
      </c>
      <c r="B36" s="33" t="s">
        <v>32</v>
      </c>
      <c r="C36" s="35">
        <v>5</v>
      </c>
      <c r="D36" s="35">
        <v>6</v>
      </c>
      <c r="E36" s="31">
        <f t="shared" si="0"/>
        <v>30</v>
      </c>
      <c r="F36" s="31" t="str">
        <f t="shared" si="1"/>
        <v>M</v>
      </c>
    </row>
    <row r="37" spans="1:6" ht="48" x14ac:dyDescent="0.25">
      <c r="A37" s="44" t="s">
        <v>368</v>
      </c>
      <c r="B37" s="33" t="s">
        <v>267</v>
      </c>
      <c r="C37" s="35">
        <v>5</v>
      </c>
      <c r="D37" s="35">
        <v>4</v>
      </c>
      <c r="E37" s="31">
        <f t="shared" si="0"/>
        <v>20</v>
      </c>
      <c r="F37" s="31" t="str">
        <f t="shared" si="1"/>
        <v>M</v>
      </c>
    </row>
    <row r="38" spans="1:6" ht="36" x14ac:dyDescent="0.25">
      <c r="A38" s="44" t="s">
        <v>369</v>
      </c>
      <c r="B38" s="33" t="s">
        <v>274</v>
      </c>
      <c r="C38" s="35">
        <v>7</v>
      </c>
      <c r="D38" s="35">
        <v>2</v>
      </c>
      <c r="E38" s="31">
        <f t="shared" si="0"/>
        <v>14</v>
      </c>
      <c r="F38" s="31" t="str">
        <f t="shared" si="1"/>
        <v>L</v>
      </c>
    </row>
    <row r="39" spans="1:6" ht="48" x14ac:dyDescent="0.25">
      <c r="A39" s="44" t="s">
        <v>370</v>
      </c>
      <c r="B39" s="33" t="s">
        <v>281</v>
      </c>
      <c r="C39" s="35">
        <v>3</v>
      </c>
      <c r="D39" s="35">
        <v>8</v>
      </c>
      <c r="E39" s="31">
        <f t="shared" si="0"/>
        <v>24</v>
      </c>
      <c r="F39" s="31" t="str">
        <f t="shared" si="1"/>
        <v>M</v>
      </c>
    </row>
    <row r="40" spans="1:6" ht="48" x14ac:dyDescent="0.25">
      <c r="A40" s="44" t="s">
        <v>371</v>
      </c>
      <c r="B40" s="33" t="s">
        <v>288</v>
      </c>
      <c r="C40" s="35">
        <v>5</v>
      </c>
      <c r="D40" s="35">
        <v>4</v>
      </c>
      <c r="E40" s="31">
        <f t="shared" si="0"/>
        <v>20</v>
      </c>
      <c r="F40" s="31" t="str">
        <f t="shared" si="1"/>
        <v>M</v>
      </c>
    </row>
    <row r="41" spans="1:6" ht="24" x14ac:dyDescent="0.25">
      <c r="A41" s="44" t="s">
        <v>372</v>
      </c>
      <c r="B41" s="33" t="s">
        <v>295</v>
      </c>
      <c r="C41" s="35">
        <v>7</v>
      </c>
      <c r="D41" s="35">
        <v>2</v>
      </c>
      <c r="E41" s="31">
        <f t="shared" si="0"/>
        <v>14</v>
      </c>
      <c r="F41" s="31" t="str">
        <f t="shared" si="1"/>
        <v>L</v>
      </c>
    </row>
    <row r="42" spans="1:6" ht="24" x14ac:dyDescent="0.25">
      <c r="A42" s="44" t="s">
        <v>373</v>
      </c>
      <c r="B42" s="33" t="s">
        <v>34</v>
      </c>
      <c r="C42" s="35">
        <v>5</v>
      </c>
      <c r="D42" s="35">
        <v>8</v>
      </c>
      <c r="E42" s="31">
        <f t="shared" si="0"/>
        <v>40</v>
      </c>
      <c r="F42" s="31" t="str">
        <f t="shared" si="1"/>
        <v>H</v>
      </c>
    </row>
    <row r="43" spans="1:6" ht="48" x14ac:dyDescent="0.25">
      <c r="A43" s="44" t="s">
        <v>374</v>
      </c>
      <c r="B43" s="33" t="s">
        <v>308</v>
      </c>
      <c r="C43" s="35">
        <v>7</v>
      </c>
      <c r="D43" s="35">
        <v>6</v>
      </c>
      <c r="E43" s="31">
        <f t="shared" si="0"/>
        <v>42</v>
      </c>
      <c r="F43" s="31" t="str">
        <f t="shared" si="1"/>
        <v>H</v>
      </c>
    </row>
    <row r="44" spans="1:6" ht="36" x14ac:dyDescent="0.25">
      <c r="A44" s="44" t="s">
        <v>375</v>
      </c>
      <c r="B44" s="33" t="s">
        <v>315</v>
      </c>
      <c r="C44" s="35">
        <v>7</v>
      </c>
      <c r="D44" s="35">
        <v>6</v>
      </c>
      <c r="E44" s="31">
        <f t="shared" si="0"/>
        <v>42</v>
      </c>
      <c r="F44" s="31" t="str">
        <f t="shared" si="1"/>
        <v>H</v>
      </c>
    </row>
    <row r="45" spans="1:6" ht="36" x14ac:dyDescent="0.25">
      <c r="A45" s="44" t="s">
        <v>376</v>
      </c>
      <c r="B45" s="33" t="s">
        <v>35</v>
      </c>
      <c r="C45" s="35">
        <v>5</v>
      </c>
      <c r="D45" s="35">
        <v>8</v>
      </c>
      <c r="E45" s="31">
        <f t="shared" si="0"/>
        <v>40</v>
      </c>
      <c r="F45" s="31" t="str">
        <f t="shared" si="1"/>
        <v>H</v>
      </c>
    </row>
    <row r="46" spans="1:6" ht="36" x14ac:dyDescent="0.25">
      <c r="A46" s="44" t="s">
        <v>377</v>
      </c>
      <c r="B46" s="33" t="s">
        <v>36</v>
      </c>
      <c r="C46" s="35">
        <v>5</v>
      </c>
      <c r="D46" s="35">
        <v>6</v>
      </c>
      <c r="E46" s="31">
        <f t="shared" si="0"/>
        <v>30</v>
      </c>
      <c r="F46" s="31" t="str">
        <f t="shared" si="1"/>
        <v>M</v>
      </c>
    </row>
    <row r="47" spans="1:6" ht="48" x14ac:dyDescent="0.25">
      <c r="A47" s="44" t="s">
        <v>378</v>
      </c>
      <c r="B47" s="33" t="s">
        <v>334</v>
      </c>
      <c r="C47" s="35">
        <v>3</v>
      </c>
      <c r="D47" s="35">
        <v>4</v>
      </c>
      <c r="E47" s="31">
        <f t="shared" si="0"/>
        <v>12</v>
      </c>
      <c r="F47" s="31" t="str">
        <f t="shared" si="1"/>
        <v>L</v>
      </c>
    </row>
  </sheetData>
  <mergeCells count="2">
    <mergeCell ref="A1:F1"/>
    <mergeCell ref="A10:C10"/>
  </mergeCells>
  <conditionalFormatting sqref="B3:F8">
    <cfRule type="expression" dxfId="2" priority="3">
      <formula>B$2*$A3&gt;=40</formula>
    </cfRule>
    <cfRule type="expression" dxfId="1" priority="4">
      <formula>AND(B$2*$A3&gt;=15,B$2*$A3&lt;40)</formula>
    </cfRule>
    <cfRule type="expression" dxfId="0" priority="5">
      <formula>B$2*$A3&lt;15</formula>
    </cfRule>
    <cfRule type="colorScale" priority="6">
      <colorScale>
        <cfvo type="min"/>
        <cfvo type="percentile" val="50"/>
        <cfvo type="max"/>
        <color rgb="FF63BE7B"/>
        <color rgb="FFFFEB84"/>
        <color rgb="FFF8696B"/>
      </colorScale>
    </cfRule>
  </conditionalFormatting>
  <conditionalFormatting sqref="B17:D47">
    <cfRule type="colorScale" priority="2">
      <colorScale>
        <cfvo type="min"/>
        <cfvo type="percentile" val="50"/>
        <cfvo type="max"/>
        <color rgb="FF63BE7B"/>
        <color rgb="FFFFEB84"/>
        <color rgb="FFF8696B"/>
      </colorScale>
    </cfRule>
  </conditionalFormatting>
  <conditionalFormatting sqref="E17:F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FE25-DFA2-4329-B1B1-B9BA64F3A82E}">
  <dimension ref="A37:O118"/>
  <sheetViews>
    <sheetView tabSelected="1" topLeftCell="A91" zoomScaleNormal="100" workbookViewId="0">
      <selection activeCell="C122" sqref="C122"/>
    </sheetView>
  </sheetViews>
  <sheetFormatPr defaultRowHeight="14.25" x14ac:dyDescent="0.2"/>
  <cols>
    <col min="1" max="1" width="12.125" customWidth="1"/>
    <col min="2" max="2" width="12.25" customWidth="1"/>
    <col min="3" max="3" width="13.375" customWidth="1"/>
  </cols>
  <sheetData>
    <row r="37" spans="1:15" x14ac:dyDescent="0.2">
      <c r="A37" s="55" t="s">
        <v>384</v>
      </c>
      <c r="B37" s="56"/>
      <c r="C37" s="56"/>
      <c r="D37" s="56"/>
      <c r="E37" s="56"/>
      <c r="F37" s="56"/>
      <c r="G37" s="56"/>
      <c r="H37" s="56"/>
      <c r="I37" s="56"/>
      <c r="J37" s="56"/>
      <c r="K37" s="56"/>
      <c r="L37" s="56"/>
      <c r="M37" s="56"/>
      <c r="N37" s="56"/>
      <c r="O37" s="56"/>
    </row>
    <row r="38" spans="1:15" x14ac:dyDescent="0.2">
      <c r="A38" s="56"/>
      <c r="B38" s="56"/>
      <c r="C38" s="56"/>
      <c r="D38" s="56"/>
      <c r="E38" s="56"/>
      <c r="F38" s="56"/>
      <c r="G38" s="56"/>
      <c r="H38" s="56"/>
      <c r="I38" s="56"/>
      <c r="J38" s="56"/>
      <c r="K38" s="56"/>
      <c r="L38" s="56"/>
      <c r="M38" s="56"/>
      <c r="N38" s="56"/>
      <c r="O38" s="56"/>
    </row>
    <row r="39" spans="1:15" x14ac:dyDescent="0.2">
      <c r="A39" s="56"/>
      <c r="B39" s="56"/>
      <c r="C39" s="56"/>
      <c r="D39" s="56"/>
      <c r="E39" s="56"/>
      <c r="F39" s="56"/>
      <c r="G39" s="56"/>
      <c r="H39" s="56"/>
      <c r="I39" s="56"/>
      <c r="J39" s="56"/>
      <c r="K39" s="56"/>
      <c r="L39" s="56"/>
      <c r="M39" s="56"/>
      <c r="N39" s="56"/>
      <c r="O39" s="56"/>
    </row>
    <row r="40" spans="1:15" x14ac:dyDescent="0.2">
      <c r="A40" s="56"/>
      <c r="B40" s="56"/>
      <c r="C40" s="56"/>
      <c r="D40" s="56"/>
      <c r="E40" s="56"/>
      <c r="F40" s="56"/>
      <c r="G40" s="56"/>
      <c r="H40" s="56"/>
      <c r="I40" s="56"/>
      <c r="J40" s="56"/>
      <c r="K40" s="56"/>
      <c r="L40" s="56"/>
      <c r="M40" s="56"/>
      <c r="N40" s="56"/>
      <c r="O40" s="56"/>
    </row>
    <row r="41" spans="1:15" x14ac:dyDescent="0.2">
      <c r="A41" s="56"/>
      <c r="B41" s="56"/>
      <c r="C41" s="56"/>
      <c r="D41" s="56"/>
      <c r="E41" s="56"/>
      <c r="F41" s="56"/>
      <c r="G41" s="56"/>
      <c r="H41" s="56"/>
      <c r="I41" s="56"/>
      <c r="J41" s="56"/>
      <c r="K41" s="56"/>
      <c r="L41" s="56"/>
      <c r="M41" s="56"/>
      <c r="N41" s="56"/>
      <c r="O41" s="56"/>
    </row>
    <row r="42" spans="1:15" x14ac:dyDescent="0.2">
      <c r="A42" s="56"/>
      <c r="B42" s="56"/>
      <c r="C42" s="56"/>
      <c r="D42" s="56"/>
      <c r="E42" s="56"/>
      <c r="F42" s="56"/>
      <c r="G42" s="56"/>
      <c r="H42" s="56"/>
      <c r="I42" s="56"/>
      <c r="J42" s="56"/>
      <c r="K42" s="56"/>
      <c r="L42" s="56"/>
      <c r="M42" s="56"/>
      <c r="N42" s="56"/>
      <c r="O42" s="56"/>
    </row>
    <row r="43" spans="1:15" x14ac:dyDescent="0.2">
      <c r="A43" s="56"/>
      <c r="B43" s="56"/>
      <c r="C43" s="56"/>
      <c r="D43" s="56"/>
      <c r="E43" s="56"/>
      <c r="F43" s="56"/>
      <c r="G43" s="56"/>
      <c r="H43" s="56"/>
      <c r="I43" s="56"/>
      <c r="J43" s="56"/>
      <c r="K43" s="56"/>
      <c r="L43" s="56"/>
      <c r="M43" s="56"/>
      <c r="N43" s="56"/>
      <c r="O43" s="56"/>
    </row>
    <row r="44" spans="1:15" x14ac:dyDescent="0.2">
      <c r="A44" s="56"/>
      <c r="B44" s="56"/>
      <c r="C44" s="56"/>
      <c r="D44" s="56"/>
      <c r="E44" s="56"/>
      <c r="F44" s="56"/>
      <c r="G44" s="56"/>
      <c r="H44" s="56"/>
      <c r="I44" s="56"/>
      <c r="J44" s="56"/>
      <c r="K44" s="56"/>
      <c r="L44" s="56"/>
      <c r="M44" s="56"/>
      <c r="N44" s="56"/>
      <c r="O44" s="56"/>
    </row>
    <row r="45" spans="1:15" x14ac:dyDescent="0.2">
      <c r="A45" s="56"/>
      <c r="B45" s="56"/>
      <c r="C45" s="56"/>
      <c r="D45" s="56"/>
      <c r="E45" s="56"/>
      <c r="F45" s="56"/>
      <c r="G45" s="56"/>
      <c r="H45" s="56"/>
      <c r="I45" s="56"/>
      <c r="J45" s="56"/>
      <c r="K45" s="56"/>
      <c r="L45" s="56"/>
      <c r="M45" s="56"/>
      <c r="N45" s="56"/>
      <c r="O45" s="56"/>
    </row>
    <row r="46" spans="1:15" x14ac:dyDescent="0.2">
      <c r="A46" s="56"/>
      <c r="B46" s="56"/>
      <c r="C46" s="56"/>
      <c r="D46" s="56"/>
      <c r="E46" s="56"/>
      <c r="F46" s="56"/>
      <c r="G46" s="56"/>
      <c r="H46" s="56"/>
      <c r="I46" s="56"/>
      <c r="J46" s="56"/>
      <c r="K46" s="56"/>
      <c r="L46" s="56"/>
      <c r="M46" s="56"/>
      <c r="N46" s="56"/>
      <c r="O46" s="56"/>
    </row>
    <row r="47" spans="1:15" ht="13.5" customHeight="1" x14ac:dyDescent="0.2">
      <c r="A47" s="56"/>
      <c r="B47" s="56"/>
      <c r="C47" s="56"/>
      <c r="D47" s="56"/>
      <c r="E47" s="56"/>
      <c r="F47" s="56"/>
      <c r="G47" s="56"/>
      <c r="H47" s="56"/>
      <c r="I47" s="56"/>
      <c r="J47" s="56"/>
      <c r="K47" s="56"/>
      <c r="L47" s="56"/>
      <c r="M47" s="56"/>
      <c r="N47" s="56"/>
      <c r="O47" s="56"/>
    </row>
    <row r="95" spans="1:15" x14ac:dyDescent="0.2">
      <c r="A95" s="55" t="s">
        <v>385</v>
      </c>
      <c r="B95" s="56"/>
      <c r="C95" s="56"/>
      <c r="D95" s="56"/>
      <c r="E95" s="56"/>
      <c r="F95" s="56"/>
      <c r="G95" s="56"/>
      <c r="H95" s="56"/>
      <c r="I95" s="56"/>
      <c r="J95" s="56"/>
      <c r="K95" s="56"/>
      <c r="L95" s="56"/>
      <c r="M95" s="56"/>
      <c r="N95" s="56"/>
      <c r="O95" s="56"/>
    </row>
    <row r="96" spans="1:15" x14ac:dyDescent="0.2">
      <c r="A96" s="56"/>
      <c r="B96" s="56"/>
      <c r="C96" s="56"/>
      <c r="D96" s="56"/>
      <c r="E96" s="56"/>
      <c r="F96" s="56"/>
      <c r="G96" s="56"/>
      <c r="H96" s="56"/>
      <c r="I96" s="56"/>
      <c r="J96" s="56"/>
      <c r="K96" s="56"/>
      <c r="L96" s="56"/>
      <c r="M96" s="56"/>
      <c r="N96" s="56"/>
      <c r="O96" s="56"/>
    </row>
    <row r="97" spans="1:15" x14ac:dyDescent="0.2">
      <c r="A97" s="56"/>
      <c r="B97" s="56"/>
      <c r="C97" s="56"/>
      <c r="D97" s="56"/>
      <c r="E97" s="56"/>
      <c r="F97" s="56"/>
      <c r="G97" s="56"/>
      <c r="H97" s="56"/>
      <c r="I97" s="56"/>
      <c r="J97" s="56"/>
      <c r="K97" s="56"/>
      <c r="L97" s="56"/>
      <c r="M97" s="56"/>
      <c r="N97" s="56"/>
      <c r="O97" s="56"/>
    </row>
    <row r="98" spans="1:15" x14ac:dyDescent="0.2">
      <c r="A98" s="56"/>
      <c r="B98" s="56"/>
      <c r="C98" s="56"/>
      <c r="D98" s="56"/>
      <c r="E98" s="56"/>
      <c r="F98" s="56"/>
      <c r="G98" s="56"/>
      <c r="H98" s="56"/>
      <c r="I98" s="56"/>
      <c r="J98" s="56"/>
      <c r="K98" s="56"/>
      <c r="L98" s="56"/>
      <c r="M98" s="56"/>
      <c r="N98" s="56"/>
      <c r="O98" s="56"/>
    </row>
    <row r="99" spans="1:15" x14ac:dyDescent="0.2">
      <c r="A99" s="56"/>
      <c r="B99" s="56"/>
      <c r="C99" s="56"/>
      <c r="D99" s="56"/>
      <c r="E99" s="56"/>
      <c r="F99" s="56"/>
      <c r="G99" s="56"/>
      <c r="H99" s="56"/>
      <c r="I99" s="56"/>
      <c r="J99" s="56"/>
      <c r="K99" s="56"/>
      <c r="L99" s="56"/>
      <c r="M99" s="56"/>
      <c r="N99" s="56"/>
      <c r="O99" s="56"/>
    </row>
    <row r="100" spans="1:15" x14ac:dyDescent="0.2">
      <c r="A100" s="56"/>
      <c r="B100" s="56"/>
      <c r="C100" s="56"/>
      <c r="D100" s="56"/>
      <c r="E100" s="56"/>
      <c r="F100" s="56"/>
      <c r="G100" s="56"/>
      <c r="H100" s="56"/>
      <c r="I100" s="56"/>
      <c r="J100" s="56"/>
      <c r="K100" s="56"/>
      <c r="L100" s="56"/>
      <c r="M100" s="56"/>
      <c r="N100" s="56"/>
      <c r="O100" s="56"/>
    </row>
    <row r="101" spans="1:15" x14ac:dyDescent="0.2">
      <c r="A101" s="56"/>
      <c r="B101" s="56"/>
      <c r="C101" s="56"/>
      <c r="D101" s="56"/>
      <c r="E101" s="56"/>
      <c r="F101" s="56"/>
      <c r="G101" s="56"/>
      <c r="H101" s="56"/>
      <c r="I101" s="56"/>
      <c r="J101" s="56"/>
      <c r="K101" s="56"/>
      <c r="L101" s="56"/>
      <c r="M101" s="56"/>
      <c r="N101" s="56"/>
      <c r="O101" s="56"/>
    </row>
    <row r="102" spans="1:15" x14ac:dyDescent="0.2">
      <c r="A102" s="56"/>
      <c r="B102" s="56"/>
      <c r="C102" s="56"/>
      <c r="D102" s="56"/>
      <c r="E102" s="56"/>
      <c r="F102" s="56"/>
      <c r="G102" s="56"/>
      <c r="H102" s="56"/>
      <c r="I102" s="56"/>
      <c r="J102" s="56"/>
      <c r="K102" s="56"/>
      <c r="L102" s="56"/>
      <c r="M102" s="56"/>
      <c r="N102" s="56"/>
      <c r="O102" s="56"/>
    </row>
    <row r="103" spans="1:15" x14ac:dyDescent="0.2">
      <c r="A103" s="56"/>
      <c r="B103" s="56"/>
      <c r="C103" s="56"/>
      <c r="D103" s="56"/>
      <c r="E103" s="56"/>
      <c r="F103" s="56"/>
      <c r="G103" s="56"/>
      <c r="H103" s="56"/>
      <c r="I103" s="56"/>
      <c r="J103" s="56"/>
      <c r="K103" s="56"/>
      <c r="L103" s="56"/>
      <c r="M103" s="56"/>
      <c r="N103" s="56"/>
      <c r="O103" s="56"/>
    </row>
    <row r="104" spans="1:15" x14ac:dyDescent="0.2">
      <c r="A104" s="56"/>
      <c r="B104" s="56"/>
      <c r="C104" s="56"/>
      <c r="D104" s="56"/>
      <c r="E104" s="56"/>
      <c r="F104" s="56"/>
      <c r="G104" s="56"/>
      <c r="H104" s="56"/>
      <c r="I104" s="56"/>
      <c r="J104" s="56"/>
      <c r="K104" s="56"/>
      <c r="L104" s="56"/>
      <c r="M104" s="56"/>
      <c r="N104" s="56"/>
      <c r="O104" s="56"/>
    </row>
    <row r="105" spans="1:15" x14ac:dyDescent="0.2">
      <c r="A105" s="56"/>
      <c r="B105" s="56"/>
      <c r="C105" s="56"/>
      <c r="D105" s="56"/>
      <c r="E105" s="56"/>
      <c r="F105" s="56"/>
      <c r="G105" s="56"/>
      <c r="H105" s="56"/>
      <c r="I105" s="56"/>
      <c r="J105" s="56"/>
      <c r="K105" s="56"/>
      <c r="L105" s="56"/>
      <c r="M105" s="56"/>
      <c r="N105" s="56"/>
      <c r="O105" s="56"/>
    </row>
    <row r="106" spans="1:15" x14ac:dyDescent="0.2">
      <c r="A106" s="56"/>
      <c r="B106" s="56"/>
      <c r="C106" s="56"/>
      <c r="D106" s="56"/>
      <c r="E106" s="56"/>
      <c r="F106" s="56"/>
      <c r="G106" s="56"/>
      <c r="H106" s="56"/>
      <c r="I106" s="56"/>
      <c r="J106" s="56"/>
      <c r="K106" s="56"/>
      <c r="L106" s="56"/>
      <c r="M106" s="56"/>
      <c r="N106" s="56"/>
      <c r="O106" s="56"/>
    </row>
    <row r="107" spans="1:15" x14ac:dyDescent="0.2">
      <c r="A107" s="56"/>
      <c r="B107" s="56"/>
      <c r="C107" s="56"/>
      <c r="D107" s="56"/>
      <c r="E107" s="56"/>
      <c r="F107" s="56"/>
      <c r="G107" s="56"/>
      <c r="H107" s="56"/>
      <c r="I107" s="56"/>
      <c r="J107" s="56"/>
      <c r="K107" s="56"/>
      <c r="L107" s="56"/>
      <c r="M107" s="56"/>
      <c r="N107" s="56"/>
      <c r="O107" s="56"/>
    </row>
    <row r="109" spans="1:15" ht="18" x14ac:dyDescent="0.25">
      <c r="A109" s="54" t="s">
        <v>383</v>
      </c>
      <c r="B109" s="54"/>
      <c r="C109" s="54"/>
    </row>
    <row r="110" spans="1:15" ht="15" x14ac:dyDescent="0.25">
      <c r="A110" s="48" t="s">
        <v>380</v>
      </c>
      <c r="B110" s="48" t="s">
        <v>381</v>
      </c>
      <c r="C110" s="48" t="s">
        <v>382</v>
      </c>
    </row>
    <row r="111" spans="1:15" ht="15" x14ac:dyDescent="0.25">
      <c r="A111" s="48" t="s">
        <v>343</v>
      </c>
      <c r="B111" s="52" t="s">
        <v>346</v>
      </c>
      <c r="C111" s="45"/>
    </row>
    <row r="112" spans="1:15" ht="15" x14ac:dyDescent="0.25">
      <c r="A112" s="48" t="s">
        <v>344</v>
      </c>
      <c r="B112" s="53" t="s">
        <v>347</v>
      </c>
      <c r="C112" s="46"/>
    </row>
    <row r="113" spans="1:10" ht="15" x14ac:dyDescent="0.25">
      <c r="A113" s="48" t="s">
        <v>345</v>
      </c>
      <c r="B113" s="53" t="s">
        <v>348</v>
      </c>
      <c r="C113" s="47"/>
    </row>
    <row r="115" spans="1:10" x14ac:dyDescent="0.2">
      <c r="A115" s="55" t="s">
        <v>386</v>
      </c>
      <c r="B115" s="57"/>
      <c r="C115" s="57"/>
      <c r="D115" s="57"/>
      <c r="E115" s="57"/>
      <c r="F115" s="57"/>
      <c r="G115" s="57"/>
      <c r="H115" s="57"/>
      <c r="I115" s="57"/>
      <c r="J115" s="57"/>
    </row>
    <row r="116" spans="1:10" x14ac:dyDescent="0.2">
      <c r="A116" s="57"/>
      <c r="B116" s="57"/>
      <c r="C116" s="57"/>
      <c r="D116" s="57"/>
      <c r="E116" s="57"/>
      <c r="F116" s="57"/>
      <c r="G116" s="57"/>
      <c r="H116" s="57"/>
      <c r="I116" s="57"/>
      <c r="J116" s="57"/>
    </row>
    <row r="117" spans="1:10" x14ac:dyDescent="0.2">
      <c r="A117" s="57"/>
      <c r="B117" s="57"/>
      <c r="C117" s="57"/>
      <c r="D117" s="57"/>
      <c r="E117" s="57"/>
      <c r="F117" s="57"/>
      <c r="G117" s="57"/>
      <c r="H117" s="57"/>
      <c r="I117" s="57"/>
      <c r="J117" s="57"/>
    </row>
    <row r="118" spans="1:10" ht="21" customHeight="1" x14ac:dyDescent="0.2">
      <c r="A118" s="57"/>
      <c r="B118" s="57"/>
      <c r="C118" s="57"/>
      <c r="D118" s="57"/>
      <c r="E118" s="57"/>
      <c r="F118" s="57"/>
      <c r="G118" s="57"/>
      <c r="H118" s="57"/>
      <c r="I118" s="57"/>
      <c r="J118" s="57"/>
    </row>
  </sheetData>
  <mergeCells count="4">
    <mergeCell ref="A37:O47"/>
    <mergeCell ref="A95:O107"/>
    <mergeCell ref="A109:C109"/>
    <mergeCell ref="A115:J1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Conservative</vt:lpstr>
      <vt:lpstr>Risk Log</vt:lpstr>
      <vt:lpstr>Risk Register</vt:lpstr>
      <vt:lpstr>HeatMap Excel</vt:lpstr>
      <vt:lpstr>HeatMap 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 Mao</cp:lastModifiedBy>
  <dcterms:modified xsi:type="dcterms:W3CDTF">2026-06-09T18:23:55Z</dcterms:modified>
</cp:coreProperties>
</file>